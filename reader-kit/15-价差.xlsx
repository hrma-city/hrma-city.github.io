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9" customWidth="1" min="4" max="4"/>
    <col width="12" customWidth="1" min="5" max="5"/>
    <col width="12" customWidth="1" min="6" max="6"/>
    <col width="12" customWidth="1" min="7" max="7"/>
    <col width="17" customWidth="1" min="8" max="8"/>
    <col width="11" customWidth="1" min="9" max="9"/>
    <col width="15" customWidth="1" min="10" max="10"/>
    <col width="13" customWidth="1" min="11" max="11"/>
  </cols>
  <sheetData>
    <row r="1" ht="32" customHeight="1">
      <c r="A1" s="1" t="inlineStr">
        <is>
          <t>房型价差校验表（售出结构 + 升级转化率）</t>
        </is>
      </c>
    </row>
    <row r="2" ht="30" customHeight="1">
      <c r="A2" s="2" t="inlineStr">
        <is>
          <t>把价差拆成四个维度分别评估，再用售出结构和升级转化率校验。整体价差站不住时，通常是某一维度被高估。</t>
        </is>
      </c>
    </row>
    <row r="4" ht="24" customHeight="1">
      <c r="A4" s="3" t="inlineStr">
        <is>
          <t>房型</t>
        </is>
      </c>
      <c r="B4" s="3" t="inlineStr">
        <is>
          <t>当前价</t>
        </is>
      </c>
      <c r="C4" s="3" t="inlineStr">
        <is>
          <t>与下一档价差</t>
        </is>
      </c>
      <c r="D4" s="3" t="inlineStr">
        <is>
          <t>面积差</t>
        </is>
      </c>
      <c r="E4" s="3" t="inlineStr">
        <is>
          <t>景观/朝向</t>
        </is>
      </c>
      <c r="F4" s="3" t="inlineStr">
        <is>
          <t>床型/配置</t>
        </is>
      </c>
      <c r="G4" s="3" t="inlineStr">
        <is>
          <t>附加权益</t>
        </is>
      </c>
      <c r="H4" s="3" t="inlineStr">
        <is>
          <t>售出占比(90天)</t>
        </is>
      </c>
      <c r="I4" s="3" t="inlineStr">
        <is>
          <t>房量占比</t>
        </is>
      </c>
      <c r="J4" s="3" t="inlineStr">
        <is>
          <t>结构是否失衡</t>
        </is>
      </c>
      <c r="K4" s="3" t="inlineStr">
        <is>
          <t>升级接受率</t>
        </is>
      </c>
    </row>
    <row r="5">
      <c r="A5" s="4" t="inlineStr">
        <is>
          <t>标准房</t>
        </is>
      </c>
      <c r="B5" s="4" t="n">
        <v>500</v>
      </c>
      <c r="C5" s="4" t="inlineStr"/>
      <c r="D5" s="4" t="inlineStr"/>
      <c r="E5" s="4" t="inlineStr"/>
      <c r="F5" s="4" t="inlineStr"/>
      <c r="G5" s="4" t="inlineStr"/>
      <c r="H5" s="4" t="inlineStr">
        <is>
          <t>0.62</t>
        </is>
      </c>
      <c r="I5" s="4" t="inlineStr">
        <is>
          <t>0.4</t>
        </is>
      </c>
      <c r="J5" s="4">
        <f>IF(H5&gt;I5*1.5,"低价房售出过多","正常")</f>
        <v/>
      </c>
      <c r="K5" s="4" t="inlineStr"/>
    </row>
    <row r="6">
      <c r="A6" s="4" t="inlineStr">
        <is>
          <t>高级房</t>
        </is>
      </c>
      <c r="B6" s="4" t="n">
        <v>600</v>
      </c>
      <c r="C6" s="4" t="n">
        <v>100</v>
      </c>
      <c r="D6" s="4" t="inlineStr">
        <is>
          <t>+10㎡</t>
        </is>
      </c>
      <c r="E6" s="4" t="inlineStr">
        <is>
          <t>城景</t>
        </is>
      </c>
      <c r="F6" s="4" t="inlineStr">
        <is>
          <t>大床</t>
        </is>
      </c>
      <c r="G6" s="4" t="inlineStr">
        <is>
          <t>含早</t>
        </is>
      </c>
      <c r="H6" s="4" t="inlineStr">
        <is>
          <t>0.28</t>
        </is>
      </c>
      <c r="I6" s="4" t="inlineStr">
        <is>
          <t>0.35</t>
        </is>
      </c>
      <c r="J6" s="4">
        <f>IF(H6&gt;I6*1.5,"低价房售出过多","正常")</f>
        <v/>
      </c>
      <c r="K6" s="4" t="inlineStr">
        <is>
          <t>0.35</t>
        </is>
      </c>
    </row>
    <row r="7">
      <c r="A7" s="4" t="inlineStr">
        <is>
          <t>豪华房</t>
        </is>
      </c>
      <c r="B7" s="4" t="n">
        <v>700</v>
      </c>
      <c r="C7" s="4" t="n">
        <v>100</v>
      </c>
      <c r="D7" s="4" t="inlineStr">
        <is>
          <t>+18㎡</t>
        </is>
      </c>
      <c r="E7" s="4" t="inlineStr">
        <is>
          <t>江景高层</t>
        </is>
      </c>
      <c r="F7" s="4" t="inlineStr">
        <is>
          <t>大床+浴缸</t>
        </is>
      </c>
      <c r="G7" s="4" t="inlineStr">
        <is>
          <t>含早+行政</t>
        </is>
      </c>
      <c r="H7" s="4" t="inlineStr">
        <is>
          <t>0.10</t>
        </is>
      </c>
      <c r="I7" s="4" t="inlineStr">
        <is>
          <t>0.25</t>
        </is>
      </c>
      <c r="J7" s="4">
        <f>IF(H7&gt;I7*1.5,"低价房售出过多","正常")</f>
        <v/>
      </c>
      <c r="K7" s="4" t="inlineStr">
        <is>
          <t>0.18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7" ht="34" customHeight="1">
      <c r="A17" s="6" t="inlineStr">
        <is>
          <t>低价房售出占比 &gt;70% 说明价差偏大（客人觉得升级不值）；高价房售出占比过高说明价差偏小（升级太划算，你在少收钱）。注意排除'没房可卖'的干扰。每季度复检一次。</t>
        </is>
      </c>
    </row>
  </sheetData>
  <mergeCells count="3">
    <mergeCell ref="A2:K2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