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5" customWidth="1" min="4" max="4"/>
    <col width="15" customWidth="1" min="5" max="5"/>
    <col width="8" customWidth="1" min="6" max="6"/>
    <col width="28" customWidth="1" min="7" max="7"/>
  </cols>
  <sheetData>
    <row r="1" ht="32" customHeight="1">
      <c r="A1" s="1" t="inlineStr">
        <is>
          <t>Pickup 预订增量追踪表（含去年同期叠加）</t>
        </is>
      </c>
    </row>
    <row r="2" ht="30" customHeight="1">
      <c r="A2" s="2" t="inlineStr">
        <is>
          <t>每天记录同一未来日期的累计在手，算出当日新增。看'速度'而不是'存量'——两个在手相同的日期，增速不同结论可能完全相反。</t>
        </is>
      </c>
    </row>
    <row r="4" ht="24" customHeight="1">
      <c r="A4" s="3" t="inlineStr">
        <is>
          <t>距到达天数</t>
        </is>
      </c>
      <c r="B4" s="3" t="inlineStr">
        <is>
          <t>今年累计在手</t>
        </is>
      </c>
      <c r="C4" s="3" t="inlineStr">
        <is>
          <t>当日新增(Pickup)</t>
        </is>
      </c>
      <c r="D4" s="3" t="inlineStr">
        <is>
          <t>去年同期在手</t>
        </is>
      </c>
      <c r="E4" s="3" t="inlineStr">
        <is>
          <t>同期当日新增</t>
        </is>
      </c>
      <c r="F4" s="3" t="inlineStr">
        <is>
          <t>差异</t>
        </is>
      </c>
      <c r="G4" s="3" t="inlineStr">
        <is>
          <t>形态判断</t>
        </is>
      </c>
    </row>
    <row r="5">
      <c r="A5" s="4" t="inlineStr">
        <is>
          <t>30</t>
        </is>
      </c>
      <c r="B5" s="4" t="n">
        <v>40</v>
      </c>
      <c r="C5" s="4" t="inlineStr"/>
      <c r="D5" s="4" t="n">
        <v>45</v>
      </c>
      <c r="E5" s="4" t="inlineStr"/>
      <c r="F5" s="4">
        <f>B5-D5</f>
        <v/>
      </c>
      <c r="G5" s="4" t="inlineStr"/>
    </row>
    <row r="6">
      <c r="A6" s="4" t="inlineStr">
        <is>
          <t>29</t>
        </is>
      </c>
      <c r="B6" s="4" t="n">
        <v>52</v>
      </c>
      <c r="C6" s="4">
        <f>B6-B5</f>
        <v/>
      </c>
      <c r="D6" s="4" t="n">
        <v>58</v>
      </c>
      <c r="E6" s="4">
        <f>D6-D5</f>
        <v/>
      </c>
      <c r="F6" s="4">
        <f>B6-D6</f>
        <v/>
      </c>
      <c r="G6" s="4" t="inlineStr"/>
    </row>
    <row r="7">
      <c r="A7" s="4" t="inlineStr">
        <is>
          <t>28</t>
        </is>
      </c>
      <c r="B7" s="4" t="n">
        <v>61</v>
      </c>
      <c r="C7" s="4">
        <f>B7-B6</f>
        <v/>
      </c>
      <c r="D7" s="4" t="n">
        <v>66</v>
      </c>
      <c r="E7" s="4">
        <f>D7-D6</f>
        <v/>
      </c>
      <c r="F7" s="4">
        <f>B7-D7</f>
        <v/>
      </c>
      <c r="G7" s="4" t="inlineStr"/>
    </row>
    <row r="8">
      <c r="A8" s="4" t="inlineStr">
        <is>
          <t>21</t>
        </is>
      </c>
      <c r="B8" s="4" t="n">
        <v>95</v>
      </c>
      <c r="C8" s="4" t="inlineStr"/>
      <c r="D8" s="4" t="n">
        <v>110</v>
      </c>
      <c r="E8" s="4" t="inlineStr"/>
      <c r="F8" s="4">
        <f>B8-D8</f>
        <v/>
      </c>
      <c r="G8" s="4" t="inlineStr">
        <is>
          <t>落后幅度在扩大 → 需要动手</t>
        </is>
      </c>
    </row>
    <row r="9">
      <c r="A9" s="4" t="inlineStr">
        <is>
          <t>14</t>
        </is>
      </c>
      <c r="B9" s="4" t="n">
        <v>120</v>
      </c>
      <c r="C9" s="4" t="inlineStr"/>
      <c r="D9" s="4" t="n">
        <v>130</v>
      </c>
      <c r="E9" s="4" t="inlineStr"/>
      <c r="F9" s="4">
        <f>B9-D9</f>
        <v/>
      </c>
      <c r="G9" s="4" t="inlineStr"/>
    </row>
    <row r="10">
      <c r="A10" s="5" t="n"/>
      <c r="B10" s="5" t="n"/>
      <c r="C10" s="5">
        <f>B10-B{R-1}</f>
        <v/>
      </c>
      <c r="D10" s="5" t="n"/>
      <c r="E10" s="5">
        <f>D10-D{R-1}</f>
        <v/>
      </c>
      <c r="F10" s="5">
        <f>B10-D10</f>
        <v/>
      </c>
      <c r="G10" s="5" t="inlineStr"/>
    </row>
    <row r="11">
      <c r="A11" s="5" t="n"/>
      <c r="B11" s="5" t="n"/>
      <c r="C11" s="5">
        <f>B11-B{R-1}</f>
        <v/>
      </c>
      <c r="D11" s="5" t="n"/>
      <c r="E11" s="5">
        <f>D11-D{R-1}</f>
        <v/>
      </c>
      <c r="F11" s="5">
        <f>B11-D11</f>
        <v/>
      </c>
      <c r="G11" s="5" t="inlineStr"/>
    </row>
    <row r="12">
      <c r="A12" s="5" t="n"/>
      <c r="B12" s="5" t="n"/>
      <c r="C12" s="5">
        <f>B12-B{R-1}</f>
        <v/>
      </c>
      <c r="D12" s="5" t="n"/>
      <c r="E12" s="5">
        <f>D12-D{R-1}</f>
        <v/>
      </c>
      <c r="F12" s="5">
        <f>B12-D12</f>
        <v/>
      </c>
      <c r="G12" s="5" t="inlineStr"/>
    </row>
    <row r="13">
      <c r="A13" s="5" t="n"/>
      <c r="B13" s="5" t="n"/>
      <c r="C13" s="5">
        <f>B13-B{R-1}</f>
        <v/>
      </c>
      <c r="D13" s="5" t="n"/>
      <c r="E13" s="5">
        <f>D13-D{R-1}</f>
        <v/>
      </c>
      <c r="F13" s="5">
        <f>B13-D13</f>
        <v/>
      </c>
      <c r="G13" s="5" t="inlineStr"/>
    </row>
    <row r="14">
      <c r="A14" s="5" t="n"/>
      <c r="B14" s="5" t="n"/>
      <c r="C14" s="5">
        <f>B14-B{R-1}</f>
        <v/>
      </c>
      <c r="D14" s="5" t="n"/>
      <c r="E14" s="5">
        <f>D14-D{R-1}</f>
        <v/>
      </c>
      <c r="F14" s="5">
        <f>B14-D14</f>
        <v/>
      </c>
      <c r="G14" s="5" t="inlineStr"/>
    </row>
    <row r="15">
      <c r="A15" s="5" t="n"/>
      <c r="B15" s="5" t="n"/>
      <c r="C15" s="5">
        <f>B15-B{R-1}</f>
        <v/>
      </c>
      <c r="D15" s="5" t="n"/>
      <c r="E15" s="5">
        <f>D15-D{R-1}</f>
        <v/>
      </c>
      <c r="F15" s="5">
        <f>B15-D15</f>
        <v/>
      </c>
      <c r="G15" s="5" t="inlineStr"/>
    </row>
    <row r="16">
      <c r="A16" s="5" t="n"/>
      <c r="B16" s="5" t="n"/>
      <c r="C16" s="5">
        <f>B16-B{R-1}</f>
        <v/>
      </c>
      <c r="D16" s="5" t="n"/>
      <c r="E16" s="5">
        <f>D16-D{R-1}</f>
        <v/>
      </c>
      <c r="F16" s="5">
        <f>B16-D16</f>
        <v/>
      </c>
      <c r="G16" s="5" t="inlineStr"/>
    </row>
    <row r="17">
      <c r="A17" s="5" t="n"/>
      <c r="B17" s="5" t="n"/>
      <c r="C17" s="5">
        <f>B17-B{R-1}</f>
        <v/>
      </c>
      <c r="D17" s="5" t="n"/>
      <c r="E17" s="5">
        <f>D17-D{R-1}</f>
        <v/>
      </c>
      <c r="F17" s="5">
        <f>B17-D17</f>
        <v/>
      </c>
      <c r="G17" s="5" t="inlineStr"/>
    </row>
    <row r="18">
      <c r="A18" s="5" t="n"/>
      <c r="B18" s="5" t="n"/>
      <c r="C18" s="5">
        <f>B18-B{R-1}</f>
        <v/>
      </c>
      <c r="D18" s="5" t="n"/>
      <c r="E18" s="5">
        <f>D18-D{R-1}</f>
        <v/>
      </c>
      <c r="F18" s="5">
        <f>B18-D18</f>
        <v/>
      </c>
      <c r="G18" s="5" t="inlineStr"/>
    </row>
    <row r="19">
      <c r="A19" s="5" t="n"/>
      <c r="B19" s="5" t="n"/>
      <c r="C19" s="5">
        <f>B19-B{R-1}</f>
        <v/>
      </c>
      <c r="D19" s="5" t="n"/>
      <c r="E19" s="5">
        <f>D19-D{R-1}</f>
        <v/>
      </c>
      <c r="F19" s="5">
        <f>B19-D19</f>
        <v/>
      </c>
      <c r="G19" s="5" t="inlineStr"/>
    </row>
    <row r="20">
      <c r="A20" s="5" t="n"/>
      <c r="B20" s="5" t="n"/>
      <c r="C20" s="5">
        <f>B20-B{R-1}</f>
        <v/>
      </c>
      <c r="D20" s="5" t="n"/>
      <c r="E20" s="5">
        <f>D20-D{R-1}</f>
        <v/>
      </c>
      <c r="F20" s="5">
        <f>B20-D20</f>
        <v/>
      </c>
      <c r="G20" s="5" t="inlineStr"/>
    </row>
    <row r="21">
      <c r="A21" s="5" t="n"/>
      <c r="B21" s="5" t="n"/>
      <c r="C21" s="5">
        <f>B21-B{R-1}</f>
        <v/>
      </c>
      <c r="D21" s="5" t="n"/>
      <c r="E21" s="5">
        <f>D21-D{R-1}</f>
        <v/>
      </c>
      <c r="F21" s="5">
        <f>B21-D21</f>
        <v/>
      </c>
      <c r="G21" s="5" t="inlineStr"/>
    </row>
    <row r="22">
      <c r="A22" s="5" t="n"/>
      <c r="B22" s="5" t="n"/>
      <c r="C22" s="5">
        <f>B22-B{R-1}</f>
        <v/>
      </c>
      <c r="D22" s="5" t="n"/>
      <c r="E22" s="5">
        <f>D22-D{R-1}</f>
        <v/>
      </c>
      <c r="F22" s="5">
        <f>B22-D22</f>
        <v/>
      </c>
      <c r="G22" s="5" t="inlineStr"/>
    </row>
    <row r="23">
      <c r="A23" s="5" t="n"/>
      <c r="B23" s="5" t="n"/>
      <c r="C23" s="5">
        <f>B23-B{R-1}</f>
        <v/>
      </c>
      <c r="D23" s="5" t="n"/>
      <c r="E23" s="5">
        <f>D23-D{R-1}</f>
        <v/>
      </c>
      <c r="F23" s="5">
        <f>B23-D23</f>
        <v/>
      </c>
      <c r="G23" s="5" t="inlineStr"/>
    </row>
    <row r="25" ht="34" customHeight="1">
      <c r="A25" s="6" t="inlineStr">
        <is>
          <t>三种形态：① 曲线低于同期 → 先排查自己（价格/房型是否齐全），别急着降价；② 高于同期且快速上升 → 惜售窗口，关低价房型、抬价；③ 平淡后突然陡增 → 查外部事件，立刻做价格布局。</t>
        </is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