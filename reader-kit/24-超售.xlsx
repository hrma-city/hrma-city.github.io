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13" customWidth="1" min="4" max="4"/>
    <col width="13" customWidth="1" min="5" max="5"/>
    <col width="19" customWidth="1" min="6" max="6"/>
    <col width="14" customWidth="1" min="7" max="7"/>
    <col width="14" customWidth="1" min="8" max="8"/>
    <col width="11" customWidth="1" min="9" max="9"/>
    <col width="13" customWidth="1" min="10" max="10"/>
  </cols>
  <sheetData>
    <row r="1" ht="32" customHeight="1">
      <c r="A1" s="1" t="inlineStr">
        <is>
          <t>超额预订测算表（分渠道 + 风险权衡）</t>
        </is>
      </c>
    </row>
    <row r="2" ht="30" customHeight="1">
      <c r="A2" s="2" t="inlineStr">
        <is>
          <t>超售是对冲预订不履行，不是'多卖房'。只对高取消率渠道超售；对不可取消订单超售是纯粹的过度预订。</t>
        </is>
      </c>
    </row>
    <row r="4" ht="24" customHeight="1">
      <c r="A4" s="3" t="inlineStr">
        <is>
          <t>渠道</t>
        </is>
      </c>
      <c r="B4" s="3" t="inlineStr">
        <is>
          <t>在手间数</t>
        </is>
      </c>
      <c r="C4" s="3" t="inlineStr">
        <is>
          <t>取消率</t>
        </is>
      </c>
      <c r="D4" s="3" t="inlineStr">
        <is>
          <t>No-show 率</t>
        </is>
      </c>
      <c r="E4" s="3" t="inlineStr">
        <is>
          <t>预计不兑现</t>
        </is>
      </c>
      <c r="F4" s="3" t="inlineStr">
        <is>
          <t>是否可超售</t>
        </is>
      </c>
      <c r="G4" s="3" t="inlineStr">
        <is>
          <t>步行成本/间</t>
        </is>
      </c>
      <c r="H4" s="3" t="inlineStr">
        <is>
          <t>空房损失/间</t>
        </is>
      </c>
      <c r="I4" s="3" t="inlineStr">
        <is>
          <t>风险系数</t>
        </is>
      </c>
      <c r="J4" s="3" t="inlineStr">
        <is>
          <t>建议超售量</t>
        </is>
      </c>
    </row>
    <row r="5">
      <c r="A5" s="4" t="inlineStr">
        <is>
          <t>OTA 免费取消</t>
        </is>
      </c>
      <c r="B5" s="4" t="n">
        <v>60</v>
      </c>
      <c r="C5" s="4" t="n">
        <v>0.1</v>
      </c>
      <c r="D5" s="4" t="n">
        <v>0.04</v>
      </c>
      <c r="E5" s="4">
        <f>B5*C5+B5*D5</f>
        <v/>
      </c>
      <c r="F5" s="4" t="inlineStr">
        <is>
          <t>是</t>
        </is>
      </c>
      <c r="G5" s="4" t="n">
        <v>1100</v>
      </c>
      <c r="H5" s="4" t="n">
        <v>500</v>
      </c>
      <c r="I5" s="5">
        <f>G5/H5</f>
        <v/>
      </c>
      <c r="J5" s="5">
        <f>ROUND(E5*0.6,0)</f>
        <v/>
      </c>
    </row>
    <row r="6">
      <c r="A6" s="4" t="inlineStr">
        <is>
          <t>直销可取消</t>
        </is>
      </c>
      <c r="B6" s="4" t="n">
        <v>25</v>
      </c>
      <c r="C6" s="4" t="n">
        <v>0.05</v>
      </c>
      <c r="D6" s="4" t="n">
        <v>0.02</v>
      </c>
      <c r="E6" s="4">
        <f>B6*C6+B6*D6</f>
        <v/>
      </c>
      <c r="F6" s="4" t="inlineStr">
        <is>
          <t>是</t>
        </is>
      </c>
      <c r="G6" s="4" t="n">
        <v>1100</v>
      </c>
      <c r="H6" s="4" t="n">
        <v>500</v>
      </c>
      <c r="I6" s="5">
        <f>G6/H6</f>
        <v/>
      </c>
      <c r="J6" s="5">
        <f>ROUND(E6*0.6,0)</f>
        <v/>
      </c>
    </row>
    <row r="7">
      <c r="A7" s="4" t="inlineStr">
        <is>
          <t>预付不可取消</t>
        </is>
      </c>
      <c r="B7" s="4" t="n">
        <v>15</v>
      </c>
      <c r="C7" s="4" t="n">
        <v>0</v>
      </c>
      <c r="D7" s="4" t="n">
        <v>0</v>
      </c>
      <c r="E7" s="4">
        <f>B7*C7+B7*D7</f>
        <v/>
      </c>
      <c r="F7" s="4" t="inlineStr">
        <is>
          <t>否（绝不能超售）</t>
        </is>
      </c>
      <c r="G7" s="4" t="n">
        <v>1100</v>
      </c>
      <c r="H7" s="4" t="n">
        <v>500</v>
      </c>
      <c r="I7" s="4" t="inlineStr"/>
      <c r="J7" s="4" t="n">
        <v>0</v>
      </c>
    </row>
    <row r="8">
      <c r="A8" s="6" t="n"/>
      <c r="B8" s="6" t="n"/>
      <c r="C8" s="6" t="n"/>
      <c r="D8" s="6" t="n"/>
      <c r="E8" s="6">
        <f>B8*C8+B8*D8</f>
        <v/>
      </c>
      <c r="F8" s="6" t="n"/>
      <c r="G8" s="6" t="n">
        <v>1100</v>
      </c>
      <c r="H8" s="6" t="n">
        <v>500</v>
      </c>
      <c r="I8" s="6">
        <f>G8/H8</f>
        <v/>
      </c>
      <c r="J8" s="6">
        <f>ROUND(E8*0.6,0)</f>
        <v/>
      </c>
    </row>
    <row r="9">
      <c r="A9" s="6" t="n"/>
      <c r="B9" s="6" t="n"/>
      <c r="C9" s="6" t="n"/>
      <c r="D9" s="6" t="n"/>
      <c r="E9" s="6">
        <f>B9*C9+B9*D9</f>
        <v/>
      </c>
      <c r="F9" s="6" t="n"/>
      <c r="G9" s="6" t="n">
        <v>1100</v>
      </c>
      <c r="H9" s="6" t="n">
        <v>500</v>
      </c>
      <c r="I9" s="6">
        <f>G9/H9</f>
        <v/>
      </c>
      <c r="J9" s="6">
        <f>ROUND(E9*0.6,0)</f>
        <v/>
      </c>
    </row>
    <row r="10">
      <c r="A10" s="6" t="n"/>
      <c r="B10" s="6" t="n"/>
      <c r="C10" s="6" t="n"/>
      <c r="D10" s="6" t="n"/>
      <c r="E10" s="6">
        <f>B10*C10+B10*D10</f>
        <v/>
      </c>
      <c r="F10" s="6" t="n"/>
      <c r="G10" s="6" t="n">
        <v>1100</v>
      </c>
      <c r="H10" s="6" t="n">
        <v>500</v>
      </c>
      <c r="I10" s="6">
        <f>G10/H10</f>
        <v/>
      </c>
      <c r="J10" s="6">
        <f>ROUND(E10*0.6,0)</f>
        <v/>
      </c>
    </row>
    <row r="11">
      <c r="A11" s="6" t="n"/>
      <c r="B11" s="6" t="n"/>
      <c r="C11" s="6" t="n"/>
      <c r="D11" s="6" t="n"/>
      <c r="E11" s="6">
        <f>B11*C11+B11*D11</f>
        <v/>
      </c>
      <c r="F11" s="6" t="n"/>
      <c r="G11" s="6" t="n">
        <v>1100</v>
      </c>
      <c r="H11" s="6" t="n">
        <v>500</v>
      </c>
      <c r="I11" s="6">
        <f>G11/H11</f>
        <v/>
      </c>
      <c r="J11" s="6">
        <f>ROUND(E11*0.6,0)</f>
        <v/>
      </c>
    </row>
    <row r="12">
      <c r="A12" s="6" t="n"/>
      <c r="B12" s="6" t="n"/>
      <c r="C12" s="6" t="n"/>
      <c r="D12" s="6" t="n"/>
      <c r="E12" s="6">
        <f>B12*C12+B12*D12</f>
        <v/>
      </c>
      <c r="F12" s="6" t="n"/>
      <c r="G12" s="6" t="n">
        <v>1100</v>
      </c>
      <c r="H12" s="6" t="n">
        <v>500</v>
      </c>
      <c r="I12" s="6">
        <f>G12/H12</f>
        <v/>
      </c>
      <c r="J12" s="6">
        <f>ROUND(E12*0.6,0)</f>
        <v/>
      </c>
    </row>
    <row r="13">
      <c r="A13" s="6" t="n"/>
      <c r="B13" s="6" t="n"/>
      <c r="C13" s="6" t="n"/>
      <c r="D13" s="6" t="n"/>
      <c r="E13" s="6">
        <f>B13*C13+B13*D13</f>
        <v/>
      </c>
      <c r="F13" s="6" t="n"/>
      <c r="G13" s="6" t="n">
        <v>1100</v>
      </c>
      <c r="H13" s="6" t="n">
        <v>500</v>
      </c>
      <c r="I13" s="6">
        <f>G13/H13</f>
        <v/>
      </c>
      <c r="J13" s="6">
        <f>ROUND(E13*0.6,0)</f>
        <v/>
      </c>
    </row>
    <row r="14">
      <c r="A14" s="6" t="n"/>
      <c r="B14" s="6" t="n"/>
      <c r="C14" s="6" t="n"/>
      <c r="D14" s="6" t="n"/>
      <c r="E14" s="6">
        <f>B14*C14+B14*D14</f>
        <v/>
      </c>
      <c r="F14" s="6" t="n"/>
      <c r="G14" s="6" t="n">
        <v>1100</v>
      </c>
      <c r="H14" s="6" t="n">
        <v>500</v>
      </c>
      <c r="I14" s="6">
        <f>G14/H14</f>
        <v/>
      </c>
      <c r="J14" s="6">
        <f>ROUND(E14*0.6,0)</f>
        <v/>
      </c>
    </row>
    <row r="15">
      <c r="A15" s="6" t="n"/>
      <c r="B15" s="6" t="n"/>
      <c r="C15" s="6" t="n"/>
      <c r="D15" s="6" t="n"/>
      <c r="E15" s="6">
        <f>B15*C15+B15*D15</f>
        <v/>
      </c>
      <c r="F15" s="6" t="n"/>
      <c r="G15" s="6" t="n">
        <v>1100</v>
      </c>
      <c r="H15" s="6" t="n">
        <v>500</v>
      </c>
      <c r="I15" s="6">
        <f>G15/H15</f>
        <v/>
      </c>
      <c r="J15" s="6">
        <f>ROUND(E15*0.6,0)</f>
        <v/>
      </c>
    </row>
    <row r="17" ht="34" customHeight="1">
      <c r="A17" s="7" t="inlineStr">
        <is>
          <t>风险系数 = 步行成本 ÷ 空房损失。系数越大（高端酒店/位置偏/替代少），超售比例应越低。60% 是常用起点，可按需调整。必须准备 2–3 家协作酒店，并优先升级而非外送。</t>
        </is>
      </c>
    </row>
  </sheetData>
  <mergeCells count="3">
    <mergeCell ref="A17:J1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