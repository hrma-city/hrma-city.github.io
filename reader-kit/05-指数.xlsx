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8" customWidth="1" min="4" max="4"/>
    <col width="11" customWidth="1" min="5" max="5"/>
    <col width="13" customWidth="1" min="6" max="6"/>
    <col width="8" customWidth="1" min="7" max="7"/>
    <col width="14" customWidth="1" min="8" max="8"/>
    <col width="16" customWidth="1" min="9" max="9"/>
    <col width="8" customWidth="1" min="10" max="10"/>
    <col width="32" customWidth="1" min="11" max="11"/>
  </cols>
  <sheetData>
    <row r="1" ht="32" customHeight="1">
      <c r="A1" s="1" t="inlineStr">
        <is>
          <t>MPI / ARI / RGI 竞争指数计算表</t>
        </is>
      </c>
    </row>
    <row r="2" ht="30" customHeight="1">
      <c r="A2" s="2" t="inlineStr">
        <is>
          <t>基准 100：&gt;100 表示优于竞争群。填'你的'与'竞争群'两栏，指数自动算出，并按组合形态给出解读提示。</t>
        </is>
      </c>
    </row>
    <row r="4" ht="24" customHeight="1">
      <c r="A4" s="3" t="inlineStr">
        <is>
          <t>周期</t>
        </is>
      </c>
      <c r="B4" s="3" t="inlineStr">
        <is>
          <t>你的 OCC</t>
        </is>
      </c>
      <c r="C4" s="3" t="inlineStr">
        <is>
          <t>竞争群 OCC</t>
        </is>
      </c>
      <c r="D4" s="3" t="inlineStr">
        <is>
          <t>MPI</t>
        </is>
      </c>
      <c r="E4" s="3" t="inlineStr">
        <is>
          <t>你的 ADR</t>
        </is>
      </c>
      <c r="F4" s="3" t="inlineStr">
        <is>
          <t>竞争群 ADR</t>
        </is>
      </c>
      <c r="G4" s="3" t="inlineStr">
        <is>
          <t>ARI</t>
        </is>
      </c>
      <c r="H4" s="3" t="inlineStr">
        <is>
          <t>你的 RevPAR</t>
        </is>
      </c>
      <c r="I4" s="3" t="inlineStr">
        <is>
          <t>竞争群 RevPAR</t>
        </is>
      </c>
      <c r="J4" s="3" t="inlineStr">
        <is>
          <t>RGI</t>
        </is>
      </c>
      <c r="K4" s="3" t="inlineStr">
        <is>
          <t>形态判断</t>
        </is>
      </c>
    </row>
    <row r="5">
      <c r="A5" s="4" t="inlineStr">
        <is>
          <t>7月</t>
        </is>
      </c>
      <c r="B5" s="4" t="n">
        <v>0.78</v>
      </c>
      <c r="C5" s="4" t="n">
        <v>0.75</v>
      </c>
      <c r="D5" s="5">
        <f>B5/C5*100</f>
        <v/>
      </c>
      <c r="E5" s="4" t="n">
        <v>395</v>
      </c>
      <c r="F5" s="4" t="n">
        <v>420</v>
      </c>
      <c r="G5" s="5">
        <f>E5/F5*100</f>
        <v/>
      </c>
      <c r="H5" s="4" t="n">
        <v>308</v>
      </c>
      <c r="I5" s="4" t="n">
        <v>315</v>
      </c>
      <c r="J5" s="5">
        <f>H5/I5*100</f>
        <v/>
      </c>
      <c r="K5" s="4" t="inlineStr">
        <is>
          <t>MPI高+ARI低：用低价买份额</t>
        </is>
      </c>
    </row>
    <row r="6">
      <c r="A6" s="4" t="inlineStr">
        <is>
          <t>8月</t>
        </is>
      </c>
      <c r="B6" s="4" t="n">
        <v>0.7</v>
      </c>
      <c r="C6" s="4" t="n">
        <v>0.76</v>
      </c>
      <c r="D6" s="5">
        <f>B6/C6*100</f>
        <v/>
      </c>
      <c r="E6" s="4" t="n">
        <v>430</v>
      </c>
      <c r="F6" s="4" t="n">
        <v>415</v>
      </c>
      <c r="G6" s="5">
        <f>E6/F6*100</f>
        <v/>
      </c>
      <c r="H6" s="4" t="n">
        <v>301</v>
      </c>
      <c r="I6" s="4" t="n">
        <v>315</v>
      </c>
      <c r="J6" s="5">
        <f>H6/I6*100</f>
        <v/>
      </c>
      <c r="K6" s="4" t="inlineStr">
        <is>
          <t>MPI低+ARI高：守高价，产出更好</t>
        </is>
      </c>
    </row>
    <row r="7">
      <c r="A7" s="6" t="n"/>
      <c r="B7" s="6" t="n"/>
      <c r="C7" s="6" t="n"/>
      <c r="D7" s="6">
        <f>B7/C7*100</f>
        <v/>
      </c>
      <c r="E7" s="6" t="n"/>
      <c r="F7" s="6" t="n"/>
      <c r="G7" s="6">
        <f>E7/F7*100</f>
        <v/>
      </c>
      <c r="H7" s="6" t="n"/>
      <c r="I7" s="6" t="n"/>
      <c r="J7" s="6">
        <f>H7/I7*100</f>
        <v/>
      </c>
      <c r="K7" s="6" t="inlineStr"/>
    </row>
    <row r="8">
      <c r="A8" s="6" t="n"/>
      <c r="B8" s="6" t="n"/>
      <c r="C8" s="6" t="n"/>
      <c r="D8" s="6">
        <f>B8/C8*100</f>
        <v/>
      </c>
      <c r="E8" s="6" t="n"/>
      <c r="F8" s="6" t="n"/>
      <c r="G8" s="6">
        <f>E8/F8*100</f>
        <v/>
      </c>
      <c r="H8" s="6" t="n"/>
      <c r="I8" s="6" t="n"/>
      <c r="J8" s="6">
        <f>H8/I8*100</f>
        <v/>
      </c>
      <c r="K8" s="6" t="inlineStr"/>
    </row>
    <row r="9">
      <c r="A9" s="6" t="n"/>
      <c r="B9" s="6" t="n"/>
      <c r="C9" s="6" t="n"/>
      <c r="D9" s="6">
        <f>B9/C9*100</f>
        <v/>
      </c>
      <c r="E9" s="6" t="n"/>
      <c r="F9" s="6" t="n"/>
      <c r="G9" s="6">
        <f>E9/F9*100</f>
        <v/>
      </c>
      <c r="H9" s="6" t="n"/>
      <c r="I9" s="6" t="n"/>
      <c r="J9" s="6">
        <f>H9/I9*100</f>
        <v/>
      </c>
      <c r="K9" s="6" t="inlineStr"/>
    </row>
    <row r="10">
      <c r="A10" s="6" t="n"/>
      <c r="B10" s="6" t="n"/>
      <c r="C10" s="6" t="n"/>
      <c r="D10" s="6">
        <f>B10/C10*100</f>
        <v/>
      </c>
      <c r="E10" s="6" t="n"/>
      <c r="F10" s="6" t="n"/>
      <c r="G10" s="6">
        <f>E10/F10*100</f>
        <v/>
      </c>
      <c r="H10" s="6" t="n"/>
      <c r="I10" s="6" t="n"/>
      <c r="J10" s="6">
        <f>H10/I10*100</f>
        <v/>
      </c>
      <c r="K10" s="6" t="inlineStr"/>
    </row>
    <row r="11">
      <c r="A11" s="6" t="n"/>
      <c r="B11" s="6" t="n"/>
      <c r="C11" s="6" t="n"/>
      <c r="D11" s="6">
        <f>B11/C11*100</f>
        <v/>
      </c>
      <c r="E11" s="6" t="n"/>
      <c r="F11" s="6" t="n"/>
      <c r="G11" s="6">
        <f>E11/F11*100</f>
        <v/>
      </c>
      <c r="H11" s="6" t="n"/>
      <c r="I11" s="6" t="n"/>
      <c r="J11" s="6">
        <f>H11/I11*100</f>
        <v/>
      </c>
      <c r="K11" s="6" t="inlineStr"/>
    </row>
    <row r="12">
      <c r="A12" s="6" t="n"/>
      <c r="B12" s="6" t="n"/>
      <c r="C12" s="6" t="n"/>
      <c r="D12" s="6">
        <f>B12/C12*100</f>
        <v/>
      </c>
      <c r="E12" s="6" t="n"/>
      <c r="F12" s="6" t="n"/>
      <c r="G12" s="6">
        <f>E12/F12*100</f>
        <v/>
      </c>
      <c r="H12" s="6" t="n"/>
      <c r="I12" s="6" t="n"/>
      <c r="J12" s="6">
        <f>H12/I12*100</f>
        <v/>
      </c>
      <c r="K12" s="6" t="inlineStr"/>
    </row>
    <row r="13">
      <c r="A13" s="6" t="n"/>
      <c r="B13" s="6" t="n"/>
      <c r="C13" s="6" t="n"/>
      <c r="D13" s="6">
        <f>B13/C13*100</f>
        <v/>
      </c>
      <c r="E13" s="6" t="n"/>
      <c r="F13" s="6" t="n"/>
      <c r="G13" s="6">
        <f>E13/F13*100</f>
        <v/>
      </c>
      <c r="H13" s="6" t="n"/>
      <c r="I13" s="6" t="n"/>
      <c r="J13" s="6">
        <f>H13/I13*100</f>
        <v/>
      </c>
      <c r="K13" s="6" t="inlineStr"/>
    </row>
    <row r="14">
      <c r="A14" s="6" t="n"/>
      <c r="B14" s="6" t="n"/>
      <c r="C14" s="6" t="n"/>
      <c r="D14" s="6">
        <f>B14/C14*100</f>
        <v/>
      </c>
      <c r="E14" s="6" t="n"/>
      <c r="F14" s="6" t="n"/>
      <c r="G14" s="6">
        <f>E14/F14*100</f>
        <v/>
      </c>
      <c r="H14" s="6" t="n"/>
      <c r="I14" s="6" t="n"/>
      <c r="J14" s="6">
        <f>H14/I14*100</f>
        <v/>
      </c>
      <c r="K14" s="6" t="inlineStr"/>
    </row>
    <row r="16" ht="34" customHeight="1">
      <c r="A16" s="7" t="inlineStr">
        <is>
          <t>看组合不要看单个。MPI高+ARI低+RGI勉强持平＝用低价买份额（最常见，也最易被误判为不错）；MPI高+ARI高+RGI反而低在数学上几乎不可能，先去查算法。</t>
        </is>
      </c>
    </row>
  </sheetData>
  <mergeCells count="3">
    <mergeCell ref="A2:K2"/>
    <mergeCell ref="A16:K16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2026-09-23T16:17:58Z</dcterms:created>
  <dcterms:modified xsi:type="dcterms:W3CDTF">2026-09-23T16:17:58Z</dcterms:modified>
</cp:coreProperties>
</file>