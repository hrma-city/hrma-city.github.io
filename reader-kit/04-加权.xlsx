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4" customWidth="1" min="5" max="5"/>
    <col width="31" customWidth="1" min="6" max="6"/>
  </cols>
  <sheetData>
    <row r="1" ht="32" customHeight="1">
      <c r="A1" s="1" t="inlineStr">
        <is>
          <t>RevPAR 加权 vs 算术平均 · 对照算例</t>
        </is>
      </c>
    </row>
    <row r="2" ht="30" customHeight="1">
      <c r="A2" s="2" t="inlineStr">
        <is>
          <t>改第 2 天之后的'可售房'（比如装修停售改成 10），观察两种算法差距如何放大。这是全表最关键的一栏。</t>
        </is>
      </c>
    </row>
    <row r="4" ht="24" customHeight="1">
      <c r="A4" s="3" t="inlineStr">
        <is>
          <t>天</t>
        </is>
      </c>
      <c r="B4" s="3" t="inlineStr">
        <is>
          <t>可售房晚</t>
        </is>
      </c>
      <c r="C4" s="3" t="inlineStr">
        <is>
          <t>已售房晚</t>
        </is>
      </c>
      <c r="D4" s="3" t="inlineStr">
        <is>
          <t>客房收入</t>
        </is>
      </c>
      <c r="E4" s="3" t="inlineStr">
        <is>
          <t>当日 RevPAR</t>
        </is>
      </c>
      <c r="F4" s="3" t="inlineStr">
        <is>
          <t>备注</t>
        </is>
      </c>
    </row>
    <row r="5">
      <c r="A5" s="4" t="inlineStr">
        <is>
          <t>第1天</t>
        </is>
      </c>
      <c r="B5" s="4" t="n">
        <v>100</v>
      </c>
      <c r="C5" s="4" t="n">
        <v>10</v>
      </c>
      <c r="D5" s="4" t="n">
        <v>3000</v>
      </c>
      <c r="E5" s="5">
        <f>D5/B5</f>
        <v/>
      </c>
      <c r="F5" s="4" t="inlineStr">
        <is>
          <t>需求平淡</t>
        </is>
      </c>
    </row>
    <row r="6">
      <c r="A6" s="4" t="inlineStr">
        <is>
          <t>第2天</t>
        </is>
      </c>
      <c r="B6" s="4" t="n">
        <v>100</v>
      </c>
      <c r="C6" s="4" t="n">
        <v>10</v>
      </c>
      <c r="D6" s="4" t="n">
        <v>3000</v>
      </c>
      <c r="E6" s="5">
        <f>D6/B6</f>
        <v/>
      </c>
      <c r="F6" s="4" t="inlineStr">
        <is>
          <t>需求平淡</t>
        </is>
      </c>
    </row>
    <row r="7">
      <c r="A7" s="4" t="inlineStr">
        <is>
          <t>第3天</t>
        </is>
      </c>
      <c r="B7" s="4" t="n">
        <v>10</v>
      </c>
      <c r="C7" s="4" t="n">
        <v>10</v>
      </c>
      <c r="D7" s="4" t="n">
        <v>5000</v>
      </c>
      <c r="E7" s="5">
        <f>D7/B7</f>
        <v/>
      </c>
      <c r="F7" s="4" t="inlineStr">
        <is>
          <t>装修停售 90%，仅 10 间可售</t>
        </is>
      </c>
    </row>
    <row r="8">
      <c r="A8" s="4" t="inlineStr">
        <is>
          <t>合计 / 月度</t>
        </is>
      </c>
      <c r="B8" s="4">
        <f>SUM(B5:B7)</f>
        <v/>
      </c>
      <c r="C8" s="4">
        <f>SUM(C5:C7)</f>
        <v/>
      </c>
      <c r="D8" s="4">
        <f>SUM(D5:D7)</f>
        <v/>
      </c>
      <c r="E8" s="5">
        <f>D8/B8</f>
        <v/>
      </c>
      <c r="F8" s="4" t="inlineStr">
        <is>
          <t>← 正确算法（加权）</t>
        </is>
      </c>
    </row>
    <row r="9">
      <c r="A9" s="4" t="inlineStr">
        <is>
          <t>算术平均（错）</t>
        </is>
      </c>
      <c r="B9" s="4" t="inlineStr"/>
      <c r="C9" s="4" t="inlineStr"/>
      <c r="D9" s="4" t="inlineStr"/>
      <c r="E9" s="4">
        <f>AVERAGE(E5:E7)</f>
        <v/>
      </c>
      <c r="F9" s="4" t="inlineStr">
        <is>
          <t>← 错误算法：把每天当一样重要</t>
        </is>
      </c>
    </row>
    <row r="10">
      <c r="A10" s="6" t="n"/>
      <c r="B10" s="6" t="n"/>
      <c r="C10" s="6" t="n"/>
      <c r="D10" s="6" t="n"/>
      <c r="E10" s="6">
        <f>D10/B10</f>
        <v/>
      </c>
      <c r="F10" s="6" t="inlineStr"/>
    </row>
    <row r="11">
      <c r="A11" s="6" t="n"/>
      <c r="B11" s="6" t="n"/>
      <c r="C11" s="6" t="n"/>
      <c r="D11" s="6" t="n"/>
      <c r="E11" s="6">
        <f>D11/B11</f>
        <v/>
      </c>
      <c r="F11" s="6" t="inlineStr"/>
    </row>
    <row r="12">
      <c r="A12" s="6" t="n"/>
      <c r="B12" s="6" t="n"/>
      <c r="C12" s="6" t="n"/>
      <c r="D12" s="6" t="n"/>
      <c r="E12" s="6">
        <f>D12/B12</f>
        <v/>
      </c>
      <c r="F12" s="6" t="inlineStr"/>
    </row>
    <row r="13">
      <c r="A13" s="6" t="n"/>
      <c r="B13" s="6" t="n"/>
      <c r="C13" s="6" t="n"/>
      <c r="D13" s="6" t="n"/>
      <c r="E13" s="6">
        <f>D13/B13</f>
        <v/>
      </c>
      <c r="F13" s="6" t="inlineStr"/>
    </row>
    <row r="14">
      <c r="A14" s="6" t="n"/>
      <c r="B14" s="6" t="n"/>
      <c r="C14" s="6" t="n"/>
      <c r="D14" s="6" t="n"/>
      <c r="E14" s="6">
        <f>D14/B14</f>
        <v/>
      </c>
      <c r="F14" s="6" t="inlineStr"/>
    </row>
    <row r="15">
      <c r="A15" s="6" t="n"/>
      <c r="B15" s="6" t="n"/>
      <c r="C15" s="6" t="n"/>
      <c r="D15" s="6" t="n"/>
      <c r="E15" s="6">
        <f>D15/B15</f>
        <v/>
      </c>
      <c r="F15" s="6" t="inlineStr"/>
    </row>
    <row r="16">
      <c r="A16" s="6" t="n"/>
      <c r="B16" s="6" t="n"/>
      <c r="C16" s="6" t="n"/>
      <c r="D16" s="6" t="n"/>
      <c r="E16" s="6">
        <f>D16/B16</f>
        <v/>
      </c>
      <c r="F16" s="6" t="inlineStr"/>
    </row>
    <row r="17">
      <c r="A17" s="6" t="n"/>
      <c r="B17" s="6" t="n"/>
      <c r="C17" s="6" t="n"/>
      <c r="D17" s="6" t="n"/>
      <c r="E17" s="6">
        <f>D17/B17</f>
        <v/>
      </c>
      <c r="F17" s="6" t="inlineStr"/>
    </row>
    <row r="19" ht="34" customHeight="1">
      <c r="A19" s="7" t="inlineStr">
        <is>
          <t>两种算法仅在'每天可售房完全相同'时相等。只要任何一天可售房变化（停售维修/团队锁房/房型改造/临时加房），算术平均就失真。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