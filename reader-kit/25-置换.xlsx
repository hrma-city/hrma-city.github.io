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8" customWidth="1" min="4" max="4"/>
    <col width="46" customWidth="1" min="5" max="5"/>
  </cols>
  <sheetData>
    <row r="1" ht="32" customHeight="1">
      <c r="A1" s="1" t="inlineStr">
        <is>
          <t>团队置换分析模板（含附加消费与取消风险）</t>
        </is>
      </c>
    </row>
    <row r="2" ht="30" customHeight="1">
      <c r="A2" s="2" t="inlineStr">
        <is>
          <t>核心问题不是'这个价低不低'，而是'这批团队会挤掉谁'。同样的团队、同样的价，换个日期结论可能完全相反。</t>
        </is>
      </c>
    </row>
    <row r="4" ht="24" customHeight="1">
      <c r="A4" s="3" t="inlineStr">
        <is>
          <t>项目</t>
        </is>
      </c>
      <c r="B4" s="3" t="inlineStr">
        <is>
          <t>团队方案</t>
        </is>
      </c>
      <c r="C4" s="3" t="inlineStr">
        <is>
          <t>散客方案</t>
        </is>
      </c>
      <c r="D4" s="3" t="inlineStr">
        <is>
          <t>差额</t>
        </is>
      </c>
      <c r="E4" s="3" t="inlineStr">
        <is>
          <t>说明</t>
        </is>
      </c>
    </row>
    <row r="5">
      <c r="A5" s="4" t="inlineStr">
        <is>
          <t>间数 × 晚数</t>
        </is>
      </c>
      <c r="B5" s="4" t="n">
        <v>100</v>
      </c>
      <c r="C5" s="4" t="n">
        <v>100</v>
      </c>
      <c r="D5" s="4">
        <f>C5-B5</f>
        <v/>
      </c>
      <c r="E5" s="4" t="inlineStr">
        <is>
          <t>50 间 × 2 晚</t>
        </is>
      </c>
    </row>
    <row r="6">
      <c r="A6" s="4" t="inlineStr">
        <is>
          <t>单价</t>
        </is>
      </c>
      <c r="B6" s="4" t="n">
        <v>300</v>
      </c>
      <c r="C6" s="4" t="n">
        <v>450</v>
      </c>
      <c r="D6" s="4">
        <f>C6-B6</f>
        <v/>
      </c>
      <c r="E6" s="4" t="inlineStr"/>
    </row>
    <row r="7">
      <c r="A7" s="4" t="inlineStr">
        <is>
          <t>房费收入</t>
        </is>
      </c>
      <c r="B7" s="4">
        <f>B5*B6</f>
        <v/>
      </c>
      <c r="C7" s="4">
        <f>C5*C6</f>
        <v/>
      </c>
      <c r="D7" s="4">
        <f>C7-B7</f>
        <v/>
      </c>
      <c r="E7" s="4" t="inlineStr"/>
    </row>
    <row r="8">
      <c r="A8" s="4" t="inlineStr">
        <is>
          <t>附加消费（餐饮/会场）</t>
        </is>
      </c>
      <c r="B8" s="4" t="n">
        <v>8000</v>
      </c>
      <c r="C8" s="4" t="n">
        <v>2000</v>
      </c>
      <c r="D8" s="4">
        <f>C8-B8</f>
        <v/>
      </c>
      <c r="E8" s="4" t="inlineStr">
        <is>
          <t>团队常带餐饮会场，毛利往往更高</t>
        </is>
      </c>
    </row>
    <row r="9">
      <c r="A9" s="4" t="inlineStr">
        <is>
          <t>预计散客消化率</t>
        </is>
      </c>
      <c r="B9" s="4" t="inlineStr"/>
      <c r="C9" s="4" t="n">
        <v>0.6</v>
      </c>
      <c r="D9" s="4" t="inlineStr"/>
      <c r="E9" s="4" t="inlineStr">
        <is>
          <t>当天预计出租率 65%，只能消化 60%</t>
        </is>
      </c>
    </row>
    <row r="10">
      <c r="A10" s="4" t="inlineStr">
        <is>
          <t>被置换散客价值</t>
        </is>
      </c>
      <c r="B10" s="4" t="inlineStr"/>
      <c r="C10" s="4">
        <f>C7*C9+C8*C9</f>
        <v/>
      </c>
      <c r="D10" s="4">
        <f>B10-C10</f>
        <v/>
      </c>
      <c r="E10" s="4" t="inlineStr">
        <is>
          <t>按消化率折算，不是按全价</t>
        </is>
      </c>
    </row>
    <row r="11">
      <c r="A11" s="4" t="inlineStr">
        <is>
          <t>置换净收益</t>
        </is>
      </c>
      <c r="B11" s="4" t="inlineStr"/>
      <c r="C11" s="4" t="inlineStr"/>
      <c r="D11" s="4">
        <f>B7+B8-C10</f>
        <v/>
      </c>
      <c r="E11" s="4" t="inlineStr">
        <is>
          <t>正数才接</t>
        </is>
      </c>
    </row>
    <row r="12">
      <c r="A12" s="4" t="inlineStr">
        <is>
          <t>结论</t>
        </is>
      </c>
      <c r="B12" s="4" t="inlineStr"/>
      <c r="C12" s="4" t="inlineStr"/>
      <c r="D12" s="4" t="inlineStr"/>
      <c r="E12" s="4" t="inlineStr">
        <is>
          <t>净收益 +3000 → 可以接（但事件日满房时不可接）</t>
        </is>
      </c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2" ht="34" customHeight="1">
      <c r="A22" s="6" t="inlineStr">
        <is>
          <t>三个常见错误：忽略附加消费、用'现在满房'代替'那天会满房'、忘了算取消风险（合同要写递减条款）。算完若差距不大，可用来还价——因为有依据，比拍脑袋拒绝容易得多。</t>
        </is>
      </c>
    </row>
  </sheetData>
  <mergeCells count="3">
    <mergeCell ref="A2:E2"/>
    <mergeCell ref="A22:E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