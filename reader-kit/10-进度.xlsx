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8" customWidth="1" min="5" max="5"/>
    <col width="9" customWidth="1" min="6" max="6"/>
    <col width="11" customWidth="1" min="7" max="7"/>
    <col width="11" customWidth="1" min="8" max="8"/>
    <col width="15" customWidth="1" min="9" max="9"/>
    <col width="19" customWidth="1" min="10" max="10"/>
  </cols>
  <sheetData>
    <row r="1" ht="32" customHeight="1">
      <c r="A1" s="1" t="inlineStr">
        <is>
          <t>OTB 在手预订预警表（含均价监控）</t>
        </is>
      </c>
    </row>
    <row r="2" ht="30" customHeight="1">
      <c r="A2" s="2" t="inlineStr">
        <is>
          <t>只看绝对值没用，必须做同期对比。同时监控在手均价——OTB 高可能是低价堆出来的假象。</t>
        </is>
      </c>
    </row>
    <row r="4" ht="24" customHeight="1">
      <c r="A4" s="3" t="inlineStr">
        <is>
          <t>日期</t>
        </is>
      </c>
      <c r="B4" s="3" t="inlineStr">
        <is>
          <t>距到达天数</t>
        </is>
      </c>
      <c r="C4" s="3" t="inlineStr">
        <is>
          <t>今年在手</t>
        </is>
      </c>
      <c r="D4" s="3" t="inlineStr">
        <is>
          <t>去年同期</t>
        </is>
      </c>
      <c r="E4" s="3" t="inlineStr">
        <is>
          <t>差额</t>
        </is>
      </c>
      <c r="F4" s="3" t="inlineStr">
        <is>
          <t>完成率</t>
        </is>
      </c>
      <c r="G4" s="3" t="inlineStr">
        <is>
          <t>在手均价</t>
        </is>
      </c>
      <c r="H4" s="3" t="inlineStr">
        <is>
          <t>目标 ADR</t>
        </is>
      </c>
      <c r="I4" s="3" t="inlineStr">
        <is>
          <t>均价是否达标</t>
        </is>
      </c>
      <c r="J4" s="3" t="inlineStr">
        <is>
          <t>建议动作</t>
        </is>
      </c>
    </row>
    <row r="5">
      <c r="A5" s="4" t="inlineStr">
        <is>
          <t>8月10日</t>
        </is>
      </c>
      <c r="B5" s="4" t="n">
        <v>30</v>
      </c>
      <c r="C5" s="4" t="n">
        <v>40</v>
      </c>
      <c r="D5" s="4" t="n">
        <v>45</v>
      </c>
      <c r="E5" s="4">
        <f>C5-D5</f>
        <v/>
      </c>
      <c r="F5" s="5">
        <f>C5/D5</f>
        <v/>
      </c>
      <c r="G5" s="4" t="n">
        <v>620</v>
      </c>
      <c r="H5" s="4" t="n">
        <v>650</v>
      </c>
      <c r="I5" s="4">
        <f>IF(G5&gt;=H5,"达标","偏低")</f>
        <v/>
      </c>
      <c r="J5" s="4" t="inlineStr">
        <is>
          <t>观察</t>
        </is>
      </c>
    </row>
    <row r="6">
      <c r="A6" s="4" t="inlineStr">
        <is>
          <t>8月11日</t>
        </is>
      </c>
      <c r="B6" s="4" t="n">
        <v>21</v>
      </c>
      <c r="C6" s="4" t="n">
        <v>65</v>
      </c>
      <c r="D6" s="4" t="n">
        <v>72</v>
      </c>
      <c r="E6" s="4">
        <f>C6-D6</f>
        <v/>
      </c>
      <c r="F6" s="5">
        <f>C6/D6</f>
        <v/>
      </c>
      <c r="G6" s="4" t="n">
        <v>610</v>
      </c>
      <c r="H6" s="4" t="n">
        <v>650</v>
      </c>
      <c r="I6" s="4">
        <f>IF(G6&gt;=H6,"达标","偏低")</f>
        <v/>
      </c>
      <c r="J6" s="4" t="inlineStr">
        <is>
          <t>观察</t>
        </is>
      </c>
    </row>
    <row r="7">
      <c r="A7" s="4" t="inlineStr">
        <is>
          <t>8月12日</t>
        </is>
      </c>
      <c r="B7" s="4" t="n">
        <v>14</v>
      </c>
      <c r="C7" s="4" t="n">
        <v>95</v>
      </c>
      <c r="D7" s="4" t="n">
        <v>110</v>
      </c>
      <c r="E7" s="4">
        <f>C7-D7</f>
        <v/>
      </c>
      <c r="F7" s="5">
        <f>C7/D7</f>
        <v/>
      </c>
      <c r="G7" s="4" t="n">
        <v>480</v>
      </c>
      <c r="H7" s="4" t="n">
        <v>650</v>
      </c>
      <c r="I7" s="4">
        <f>IF(G7&gt;=H7,"达标","偏低")</f>
        <v/>
      </c>
      <c r="J7" s="4" t="inlineStr">
        <is>
          <t>危险：低价客占满</t>
        </is>
      </c>
    </row>
    <row r="8">
      <c r="A8" s="6" t="n"/>
      <c r="B8" s="6" t="n"/>
      <c r="C8" s="6" t="n"/>
      <c r="D8" s="6" t="n"/>
      <c r="E8" s="6">
        <f>C8-D8</f>
        <v/>
      </c>
      <c r="F8" s="6">
        <f>C8/D8</f>
        <v/>
      </c>
      <c r="G8" s="6" t="n"/>
      <c r="H8" s="6" t="n"/>
      <c r="I8" s="6">
        <f>IF(G8&gt;=H8,"达标","偏低")</f>
        <v/>
      </c>
      <c r="J8" s="6" t="inlineStr"/>
    </row>
    <row r="9">
      <c r="A9" s="6" t="n"/>
      <c r="B9" s="6" t="n"/>
      <c r="C9" s="6" t="n"/>
      <c r="D9" s="6" t="n"/>
      <c r="E9" s="6">
        <f>C9-D9</f>
        <v/>
      </c>
      <c r="F9" s="6">
        <f>C9/D9</f>
        <v/>
      </c>
      <c r="G9" s="6" t="n"/>
      <c r="H9" s="6" t="n"/>
      <c r="I9" s="6">
        <f>IF(G9&gt;=H9,"达标","偏低")</f>
        <v/>
      </c>
      <c r="J9" s="6" t="inlineStr"/>
    </row>
    <row r="10">
      <c r="A10" s="6" t="n"/>
      <c r="B10" s="6" t="n"/>
      <c r="C10" s="6" t="n"/>
      <c r="D10" s="6" t="n"/>
      <c r="E10" s="6">
        <f>C10-D10</f>
        <v/>
      </c>
      <c r="F10" s="6">
        <f>C10/D10</f>
        <v/>
      </c>
      <c r="G10" s="6" t="n"/>
      <c r="H10" s="6" t="n"/>
      <c r="I10" s="6">
        <f>IF(G10&gt;=H10,"达标","偏低")</f>
        <v/>
      </c>
      <c r="J10" s="6" t="inlineStr"/>
    </row>
    <row r="11">
      <c r="A11" s="6" t="n"/>
      <c r="B11" s="6" t="n"/>
      <c r="C11" s="6" t="n"/>
      <c r="D11" s="6" t="n"/>
      <c r="E11" s="6">
        <f>C11-D11</f>
        <v/>
      </c>
      <c r="F11" s="6">
        <f>C11/D11</f>
        <v/>
      </c>
      <c r="G11" s="6" t="n"/>
      <c r="H11" s="6" t="n"/>
      <c r="I11" s="6">
        <f>IF(G11&gt;=H11,"达标","偏低")</f>
        <v/>
      </c>
      <c r="J11" s="6" t="inlineStr"/>
    </row>
    <row r="12">
      <c r="A12" s="6" t="n"/>
      <c r="B12" s="6" t="n"/>
      <c r="C12" s="6" t="n"/>
      <c r="D12" s="6" t="n"/>
      <c r="E12" s="6">
        <f>C12-D12</f>
        <v/>
      </c>
      <c r="F12" s="6">
        <f>C12/D12</f>
        <v/>
      </c>
      <c r="G12" s="6" t="n"/>
      <c r="H12" s="6" t="n"/>
      <c r="I12" s="6">
        <f>IF(G12&gt;=H12,"达标","偏低")</f>
        <v/>
      </c>
      <c r="J12" s="6" t="inlineStr"/>
    </row>
    <row r="13">
      <c r="A13" s="6" t="n"/>
      <c r="B13" s="6" t="n"/>
      <c r="C13" s="6" t="n"/>
      <c r="D13" s="6" t="n"/>
      <c r="E13" s="6">
        <f>C13-D13</f>
        <v/>
      </c>
      <c r="F13" s="6">
        <f>C13/D13</f>
        <v/>
      </c>
      <c r="G13" s="6" t="n"/>
      <c r="H13" s="6" t="n"/>
      <c r="I13" s="6">
        <f>IF(G13&gt;=H13,"达标","偏低")</f>
        <v/>
      </c>
      <c r="J13" s="6" t="inlineStr"/>
    </row>
    <row r="14">
      <c r="A14" s="6" t="n"/>
      <c r="B14" s="6" t="n"/>
      <c r="C14" s="6" t="n"/>
      <c r="D14" s="6" t="n"/>
      <c r="E14" s="6">
        <f>C14-D14</f>
        <v/>
      </c>
      <c r="F14" s="6">
        <f>C14/D14</f>
        <v/>
      </c>
      <c r="G14" s="6" t="n"/>
      <c r="H14" s="6" t="n"/>
      <c r="I14" s="6">
        <f>IF(G14&gt;=H14,"达标","偏低")</f>
        <v/>
      </c>
      <c r="J14" s="6" t="inlineStr"/>
    </row>
    <row r="15">
      <c r="A15" s="6" t="n"/>
      <c r="B15" s="6" t="n"/>
      <c r="C15" s="6" t="n"/>
      <c r="D15" s="6" t="n"/>
      <c r="E15" s="6">
        <f>C15-D15</f>
        <v/>
      </c>
      <c r="F15" s="6">
        <f>C15/D15</f>
        <v/>
      </c>
      <c r="G15" s="6" t="n"/>
      <c r="H15" s="6" t="n"/>
      <c r="I15" s="6">
        <f>IF(G15&gt;=H15,"达标","偏低")</f>
        <v/>
      </c>
      <c r="J15" s="6" t="inlineStr"/>
    </row>
    <row r="16">
      <c r="A16" s="6" t="n"/>
      <c r="B16" s="6" t="n"/>
      <c r="C16" s="6" t="n"/>
      <c r="D16" s="6" t="n"/>
      <c r="E16" s="6">
        <f>C16-D16</f>
        <v/>
      </c>
      <c r="F16" s="6">
        <f>C16/D16</f>
        <v/>
      </c>
      <c r="G16" s="6" t="n"/>
      <c r="H16" s="6" t="n"/>
      <c r="I16" s="6">
        <f>IF(G16&gt;=H16,"达标","偏低")</f>
        <v/>
      </c>
      <c r="J16" s="6" t="inlineStr"/>
    </row>
    <row r="17">
      <c r="A17" s="6" t="n"/>
      <c r="B17" s="6" t="n"/>
      <c r="C17" s="6" t="n"/>
      <c r="D17" s="6" t="n"/>
      <c r="E17" s="6">
        <f>C17-D17</f>
        <v/>
      </c>
      <c r="F17" s="6">
        <f>C17/D17</f>
        <v/>
      </c>
      <c r="G17" s="6" t="n"/>
      <c r="H17" s="6" t="n"/>
      <c r="I17" s="6">
        <f>IF(G17&gt;=H17,"达标","偏低")</f>
        <v/>
      </c>
      <c r="J17" s="6" t="inlineStr"/>
    </row>
    <row r="18">
      <c r="A18" s="6" t="n"/>
      <c r="B18" s="6" t="n"/>
      <c r="C18" s="6" t="n"/>
      <c r="D18" s="6" t="n"/>
      <c r="E18" s="6">
        <f>C18-D18</f>
        <v/>
      </c>
      <c r="F18" s="6">
        <f>C18/D18</f>
        <v/>
      </c>
      <c r="G18" s="6" t="n"/>
      <c r="H18" s="6" t="n"/>
      <c r="I18" s="6">
        <f>IF(G18&gt;=H18,"达标","偏低")</f>
        <v/>
      </c>
      <c r="J18" s="6" t="inlineStr"/>
    </row>
    <row r="19">
      <c r="A19" s="6" t="n"/>
      <c r="B19" s="6" t="n"/>
      <c r="C19" s="6" t="n"/>
      <c r="D19" s="6" t="n"/>
      <c r="E19" s="6">
        <f>C19-D19</f>
        <v/>
      </c>
      <c r="F19" s="6">
        <f>C19/D19</f>
        <v/>
      </c>
      <c r="G19" s="6" t="n"/>
      <c r="H19" s="6" t="n"/>
      <c r="I19" s="6">
        <f>IF(G19&gt;=H19,"达标","偏低")</f>
        <v/>
      </c>
      <c r="J19" s="6" t="inlineStr"/>
    </row>
    <row r="20">
      <c r="A20" s="6" t="n"/>
      <c r="B20" s="6" t="n"/>
      <c r="C20" s="6" t="n"/>
      <c r="D20" s="6" t="n"/>
      <c r="E20" s="6">
        <f>C20-D20</f>
        <v/>
      </c>
      <c r="F20" s="6">
        <f>C20/D20</f>
        <v/>
      </c>
      <c r="G20" s="6" t="n"/>
      <c r="H20" s="6" t="n"/>
      <c r="I20" s="6">
        <f>IF(G20&gt;=H20,"达标","偏低")</f>
        <v/>
      </c>
      <c r="J20" s="6" t="inlineStr"/>
    </row>
    <row r="21">
      <c r="A21" s="6" t="n"/>
      <c r="B21" s="6" t="n"/>
      <c r="C21" s="6" t="n"/>
      <c r="D21" s="6" t="n"/>
      <c r="E21" s="6">
        <f>C21-D21</f>
        <v/>
      </c>
      <c r="F21" s="6">
        <f>C21/D21</f>
        <v/>
      </c>
      <c r="G21" s="6" t="n"/>
      <c r="H21" s="6" t="n"/>
      <c r="I21" s="6">
        <f>IF(G21&gt;=H21,"达标","偏低")</f>
        <v/>
      </c>
      <c r="J21" s="6" t="inlineStr"/>
    </row>
    <row r="23" ht="34" customHeight="1">
      <c r="A23" s="7" t="inlineStr">
        <is>
          <t>三档阈值：落后 &lt;5% 观察；5%–10% 先动'限制'（配额/MinLOS）别急着降价格；&gt;10% 才可促销，但必须设撤销条件。每天 10 分钟只看三个数即可。</t>
        </is>
      </c>
    </row>
  </sheetData>
  <mergeCells count="3">
    <mergeCell ref="A1:J1"/>
    <mergeCell ref="A23:J2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