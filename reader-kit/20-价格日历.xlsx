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9" customWidth="1" min="4" max="4"/>
    <col width="11" customWidth="1" min="5" max="5"/>
    <col width="11" customWidth="1" min="6" max="6"/>
    <col width="14" customWidth="1" min="7" max="7"/>
    <col width="11" customWidth="1" min="8" max="8"/>
    <col width="15" customWidth="1" min="9" max="9"/>
    <col width="15" customWidth="1" min="10" max="10"/>
  </cols>
  <sheetData>
    <row r="1" ht="32" customHeight="1">
      <c r="A1" s="1" t="inlineStr">
        <is>
          <t>全年价格日历模板（需求等级 → BAR 档位）</t>
        </is>
      </c>
    </row>
    <row r="2" ht="30" customHeight="1">
      <c r="A2" s="2" t="inlineStr">
        <is>
          <t>一次排完 365 天，之后每天只处理例外。第四步的价差校验必做：相邻两天价差 &gt;30% 要标黄复查。</t>
        </is>
      </c>
    </row>
    <row r="4" ht="24" customHeight="1">
      <c r="A4" s="3" t="inlineStr">
        <is>
          <t>月份</t>
        </is>
      </c>
      <c r="B4" s="3" t="inlineStr">
        <is>
          <t>日期段</t>
        </is>
      </c>
      <c r="C4" s="3" t="inlineStr">
        <is>
          <t>星期属性</t>
        </is>
      </c>
      <c r="D4" s="3" t="inlineStr">
        <is>
          <t>节假日</t>
        </is>
      </c>
      <c r="E4" s="3" t="inlineStr">
        <is>
          <t>已知事件</t>
        </is>
      </c>
      <c r="F4" s="3" t="inlineStr">
        <is>
          <t>需求等级</t>
        </is>
      </c>
      <c r="G4" s="3" t="inlineStr">
        <is>
          <t>对应 BAR 档</t>
        </is>
      </c>
      <c r="H4" s="3" t="inlineStr">
        <is>
          <t>拟定价格</t>
        </is>
      </c>
      <c r="I4" s="3" t="inlineStr">
        <is>
          <t>与前一日价差</t>
        </is>
      </c>
      <c r="J4" s="3" t="inlineStr">
        <is>
          <t>价差是否合格</t>
        </is>
      </c>
    </row>
    <row r="5">
      <c r="A5" s="4" t="inlineStr">
        <is>
          <t>1月</t>
        </is>
      </c>
      <c r="B5" s="4" t="inlineStr">
        <is>
          <t>1–3日</t>
        </is>
      </c>
      <c r="C5" s="4" t="inlineStr">
        <is>
          <t>周五–周日</t>
        </is>
      </c>
      <c r="D5" s="4" t="inlineStr">
        <is>
          <t>元旦</t>
        </is>
      </c>
      <c r="E5" s="4" t="inlineStr"/>
      <c r="F5" s="4" t="inlineStr">
        <is>
          <t>极高</t>
        </is>
      </c>
      <c r="G5" s="4" t="inlineStr">
        <is>
          <t>+2档</t>
        </is>
      </c>
      <c r="H5" s="4" t="n">
        <v>880</v>
      </c>
      <c r="I5" s="4" t="inlineStr"/>
      <c r="J5" s="4" t="inlineStr"/>
    </row>
    <row r="6">
      <c r="A6" s="4" t="inlineStr">
        <is>
          <t>1月</t>
        </is>
      </c>
      <c r="B6" s="4" t="inlineStr">
        <is>
          <t>4–7日</t>
        </is>
      </c>
      <c r="C6" s="4" t="inlineStr">
        <is>
          <t>周一–周四</t>
        </is>
      </c>
      <c r="D6" s="4" t="inlineStr"/>
      <c r="E6" s="4" t="inlineStr"/>
      <c r="F6" s="4" t="inlineStr">
        <is>
          <t>中</t>
        </is>
      </c>
      <c r="G6" s="4" t="inlineStr">
        <is>
          <t>基准</t>
        </is>
      </c>
      <c r="H6" s="4" t="n">
        <v>500</v>
      </c>
      <c r="I6" s="5">
        <f>ABS(H6-H5)/H5</f>
        <v/>
      </c>
      <c r="J6" s="4">
        <f>IF(I6&gt;0.3,"复查","合格")</f>
        <v/>
      </c>
    </row>
    <row r="7">
      <c r="A7" s="4" t="inlineStr">
        <is>
          <t>7月</t>
        </is>
      </c>
      <c r="B7" s="4" t="inlineStr">
        <is>
          <t>15–18日</t>
        </is>
      </c>
      <c r="C7" s="4" t="inlineStr">
        <is>
          <t>周一–周四</t>
        </is>
      </c>
      <c r="D7" s="4" t="inlineStr"/>
      <c r="E7" s="4" t="inlineStr">
        <is>
          <t>大型展会</t>
        </is>
      </c>
      <c r="F7" s="4" t="inlineStr">
        <is>
          <t>极高</t>
        </is>
      </c>
      <c r="G7" s="4" t="inlineStr">
        <is>
          <t>+2档</t>
        </is>
      </c>
      <c r="H7" s="4" t="n">
        <v>900</v>
      </c>
      <c r="I7" s="5">
        <f>ABS(H7-H6)/H6</f>
        <v/>
      </c>
      <c r="J7" s="4">
        <f>IF(I7&gt;0.3,"复查","合格")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>
        <f>ABS(H8-H{R-1})/H{R-1}</f>
        <v/>
      </c>
      <c r="J8" s="6">
        <f>IF(I8&gt;0.3,"复查","合格")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>
        <f>ABS(H9-H{R-1})/H{R-1}</f>
        <v/>
      </c>
      <c r="J9" s="6">
        <f>IF(I9&gt;0.3,"复查","合格")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>
        <f>ABS(H10-H{R-1})/H{R-1}</f>
        <v/>
      </c>
      <c r="J10" s="6">
        <f>IF(I10&gt;0.3,"复查","合格")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>
        <f>ABS(H11-H{R-1})/H{R-1}</f>
        <v/>
      </c>
      <c r="J11" s="6">
        <f>IF(I11&gt;0.3,"复查","合格")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>
        <f>ABS(H12-H{R-1})/H{R-1}</f>
        <v/>
      </c>
      <c r="J12" s="6">
        <f>IF(I12&gt;0.3,"复查","合格")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>
        <f>ABS(H13-H{R-1})/H{R-1}</f>
        <v/>
      </c>
      <c r="J13" s="6">
        <f>IF(I13&gt;0.3,"复查","合格")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>
        <f>ABS(H14-H{R-1})/H{R-1}</f>
        <v/>
      </c>
      <c r="J14" s="6">
        <f>IF(I14&gt;0.3,"复查","合格")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>
        <f>ABS(H15-H{R-1})/H{R-1}</f>
        <v/>
      </c>
      <c r="J15" s="6">
        <f>IF(I15&gt;0.3,"复查","合格")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>
        <f>ABS(H16-H{R-1})/H{R-1}</f>
        <v/>
      </c>
      <c r="J16" s="6">
        <f>IF(I16&gt;0.3,"复查","合格")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>
        <f>ABS(H17-H{R-1})/H{R-1}</f>
        <v/>
      </c>
      <c r="J17" s="6">
        <f>IF(I17&gt;0.3,"复查","合格")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>
        <f>ABS(H18-H{R-1})/H{R-1}</f>
        <v/>
      </c>
      <c r="J18" s="6">
        <f>IF(I18&gt;0.3,"复查","合格")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>
        <f>ABS(H19-H{R-1})/H{R-1}</f>
        <v/>
      </c>
      <c r="J19" s="6">
        <f>IF(I19&gt;0.3,"复查","合格")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>
        <f>ABS(H20-H{R-1})/H{R-1}</f>
        <v/>
      </c>
      <c r="J20" s="6">
        <f>IF(I20&gt;0.3,"复查","合格")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>
        <f>ABS(H21-H{R-1})/H{R-1}</f>
        <v/>
      </c>
      <c r="J21" s="6">
        <f>IF(I21&gt;0.3,"复查","合格")</f>
        <v/>
      </c>
    </row>
    <row r="23" ht="34" customHeight="1">
      <c r="A23" s="7" t="inlineStr">
        <is>
          <t>留'待定'档：年初看不清的日期（如未公布的活动）标待定，接近了再定，强行填数反而有害。每月复盘偏离率——超过 30% 说明该修需求日历，而不是继续修价格。</t>
        </is>
      </c>
    </row>
  </sheetData>
  <mergeCells count="3">
    <mergeCell ref="A1:J1"/>
    <mergeCell ref="A23:J2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