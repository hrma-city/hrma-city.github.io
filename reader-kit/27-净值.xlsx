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1" customWidth="1" min="4" max="4"/>
    <col width="14" customWidth="1" min="5" max="5"/>
    <col width="13" customWidth="1" min="6" max="6"/>
    <col width="15" customWidth="1" min="7" max="7"/>
    <col width="11" customWidth="1" min="8" max="8"/>
    <col width="13" customWidth="1" min="9" max="9"/>
    <col width="15" customWidth="1" min="10" max="10"/>
  </cols>
  <sheetData>
    <row r="1" ht="32" customHeight="1">
      <c r="A1" s="1" t="inlineStr">
        <is>
          <t>渠道净值计算表（五项成本全口径）</t>
        </is>
      </c>
    </row>
    <row r="2" ht="30" customHeight="1">
      <c r="A2" s="2" t="inlineStr">
        <is>
          <t>OTA 的 15% 佣金不是全部成本。加上支付费、积分促销后，实际接近 20%——多数人算少了。</t>
        </is>
      </c>
    </row>
    <row r="4" ht="24" customHeight="1">
      <c r="A4" s="3" t="inlineStr">
        <is>
          <t>渠道</t>
        </is>
      </c>
      <c r="B4" s="3" t="inlineStr">
        <is>
          <t>房价</t>
        </is>
      </c>
      <c r="C4" s="3" t="inlineStr">
        <is>
          <t>佣金率</t>
        </is>
      </c>
      <c r="D4" s="3" t="inlineStr">
        <is>
          <t>支付费率</t>
        </is>
      </c>
      <c r="E4" s="3" t="inlineStr">
        <is>
          <t>积分/促销率</t>
        </is>
      </c>
      <c r="F4" s="3" t="inlineStr">
        <is>
          <t>取消损失率</t>
        </is>
      </c>
      <c r="G4" s="3" t="inlineStr">
        <is>
          <t>获客成本分摊</t>
        </is>
      </c>
      <c r="H4" s="3" t="inlineStr">
        <is>
          <t>到手净值</t>
        </is>
      </c>
      <c r="I4" s="3" t="inlineStr">
        <is>
          <t>真实成本率</t>
        </is>
      </c>
      <c r="J4" s="3" t="inlineStr">
        <is>
          <t>是否增量客源</t>
        </is>
      </c>
    </row>
    <row r="5">
      <c r="A5" s="4" t="inlineStr">
        <is>
          <t>直销官网</t>
        </is>
      </c>
      <c r="B5" s="4" t="n">
        <v>500</v>
      </c>
      <c r="C5" s="4" t="n">
        <v>0</v>
      </c>
      <c r="D5" s="4" t="n">
        <v>0.006</v>
      </c>
      <c r="E5" s="4" t="n">
        <v>0.02</v>
      </c>
      <c r="F5" s="4" t="n">
        <v>0.02</v>
      </c>
      <c r="G5" s="4" t="n">
        <v>20</v>
      </c>
      <c r="H5" s="4">
        <f>B5-B5*(C5+D5+E5+F5)-G5</f>
        <v/>
      </c>
      <c r="I5" s="5">
        <f>(B5-H5)/B5</f>
        <v/>
      </c>
      <c r="J5" s="4" t="inlineStr"/>
    </row>
    <row r="6">
      <c r="A6" s="4" t="inlineStr">
        <is>
          <t>OTA-A</t>
        </is>
      </c>
      <c r="B6" s="4" t="n">
        <v>500</v>
      </c>
      <c r="C6" s="4" t="n">
        <v>0.15</v>
      </c>
      <c r="D6" s="4" t="n">
        <v>0.006</v>
      </c>
      <c r="E6" s="4" t="n">
        <v>0.05</v>
      </c>
      <c r="F6" s="4" t="n">
        <v>0.08</v>
      </c>
      <c r="G6" s="4" t="n">
        <v>0</v>
      </c>
      <c r="H6" s="4">
        <f>B6-B6*(C6+D6+E6+F6)-G6</f>
        <v/>
      </c>
      <c r="I6" s="5">
        <f>(B6-H6)/B6</f>
        <v/>
      </c>
      <c r="J6" s="4" t="inlineStr"/>
    </row>
    <row r="7">
      <c r="A7" s="4" t="inlineStr">
        <is>
          <t>OTA-B</t>
        </is>
      </c>
      <c r="B7" s="4" t="n">
        <v>500</v>
      </c>
      <c r="C7" s="4" t="n">
        <v>0.12</v>
      </c>
      <c r="D7" s="4" t="n">
        <v>0.006</v>
      </c>
      <c r="E7" s="4" t="n">
        <v>0.03</v>
      </c>
      <c r="F7" s="4" t="n">
        <v>0.08</v>
      </c>
      <c r="G7" s="4" t="n">
        <v>0</v>
      </c>
      <c r="H7" s="4">
        <f>B7-B7*(C7+D7+E7+F7)-G7</f>
        <v/>
      </c>
      <c r="I7" s="5">
        <f>(B7-H7)/B7</f>
        <v/>
      </c>
      <c r="J7" s="4" t="inlineStr"/>
    </row>
    <row r="8">
      <c r="A8" s="4" t="inlineStr">
        <is>
          <t>批发商(净价)</t>
        </is>
      </c>
      <c r="B8" s="4" t="n">
        <v>500</v>
      </c>
      <c r="C8" s="4" t="n">
        <v>0.3</v>
      </c>
      <c r="D8" s="4" t="n">
        <v>0.006</v>
      </c>
      <c r="E8" s="4" t="n">
        <v>0</v>
      </c>
      <c r="F8" s="4" t="n">
        <v>0.01</v>
      </c>
      <c r="G8" s="4" t="n">
        <v>0</v>
      </c>
      <c r="H8" s="4">
        <f>B8-B8*(C8+D8+E8+F8)-G8</f>
        <v/>
      </c>
      <c r="I8" s="5">
        <f>(B8-H8)/B8</f>
        <v/>
      </c>
      <c r="J8" s="4" t="inlineStr"/>
    </row>
    <row r="9">
      <c r="A9" s="6" t="n"/>
      <c r="B9" s="6" t="n"/>
      <c r="C9" s="6" t="n"/>
      <c r="D9" s="6" t="n"/>
      <c r="E9" s="6" t="n"/>
      <c r="F9" s="6" t="n"/>
      <c r="G9" s="6" t="n"/>
      <c r="H9" s="6">
        <f>B9-B9*(C9+D9+E9+F9)-G9</f>
        <v/>
      </c>
      <c r="I9" s="6">
        <f>(B9-H9)/B9</f>
        <v/>
      </c>
      <c r="J9" s="6" t="inlineStr"/>
    </row>
    <row r="10">
      <c r="A10" s="6" t="n"/>
      <c r="B10" s="6" t="n"/>
      <c r="C10" s="6" t="n"/>
      <c r="D10" s="6" t="n"/>
      <c r="E10" s="6" t="n"/>
      <c r="F10" s="6" t="n"/>
      <c r="G10" s="6" t="n"/>
      <c r="H10" s="6">
        <f>B10-B10*(C10+D10+E10+F10)-G10</f>
        <v/>
      </c>
      <c r="I10" s="6">
        <f>(B10-H10)/B10</f>
        <v/>
      </c>
      <c r="J10" s="6" t="inlineStr"/>
    </row>
    <row r="11">
      <c r="A11" s="6" t="n"/>
      <c r="B11" s="6" t="n"/>
      <c r="C11" s="6" t="n"/>
      <c r="D11" s="6" t="n"/>
      <c r="E11" s="6" t="n"/>
      <c r="F11" s="6" t="n"/>
      <c r="G11" s="6" t="n"/>
      <c r="H11" s="6">
        <f>B11-B11*(C11+D11+E11+F11)-G11</f>
        <v/>
      </c>
      <c r="I11" s="6">
        <f>(B11-H11)/B11</f>
        <v/>
      </c>
      <c r="J11" s="6" t="inlineStr"/>
    </row>
    <row r="12">
      <c r="A12" s="6" t="n"/>
      <c r="B12" s="6" t="n"/>
      <c r="C12" s="6" t="n"/>
      <c r="D12" s="6" t="n"/>
      <c r="E12" s="6" t="n"/>
      <c r="F12" s="6" t="n"/>
      <c r="G12" s="6" t="n"/>
      <c r="H12" s="6">
        <f>B12-B12*(C12+D12+E12+F12)-G12</f>
        <v/>
      </c>
      <c r="I12" s="6">
        <f>(B12-H12)/B12</f>
        <v/>
      </c>
      <c r="J12" s="6" t="inlineStr"/>
    </row>
    <row r="13">
      <c r="A13" s="6" t="n"/>
      <c r="B13" s="6" t="n"/>
      <c r="C13" s="6" t="n"/>
      <c r="D13" s="6" t="n"/>
      <c r="E13" s="6" t="n"/>
      <c r="F13" s="6" t="n"/>
      <c r="G13" s="6" t="n"/>
      <c r="H13" s="6">
        <f>B13-B13*(C13+D13+E13+F13)-G13</f>
        <v/>
      </c>
      <c r="I13" s="6">
        <f>(B13-H13)/B13</f>
        <v/>
      </c>
      <c r="J13" s="6" t="inlineStr"/>
    </row>
    <row r="14">
      <c r="A14" s="6" t="n"/>
      <c r="B14" s="6" t="n"/>
      <c r="C14" s="6" t="n"/>
      <c r="D14" s="6" t="n"/>
      <c r="E14" s="6" t="n"/>
      <c r="F14" s="6" t="n"/>
      <c r="G14" s="6" t="n"/>
      <c r="H14" s="6">
        <f>B14-B14*(C14+D14+E14+F14)-G14</f>
        <v/>
      </c>
      <c r="I14" s="6">
        <f>(B14-H14)/B14</f>
        <v/>
      </c>
      <c r="J14" s="6" t="inlineStr"/>
    </row>
    <row r="15">
      <c r="A15" s="6" t="n"/>
      <c r="B15" s="6" t="n"/>
      <c r="C15" s="6" t="n"/>
      <c r="D15" s="6" t="n"/>
      <c r="E15" s="6" t="n"/>
      <c r="F15" s="6" t="n"/>
      <c r="G15" s="6" t="n"/>
      <c r="H15" s="6">
        <f>B15-B15*(C15+D15+E15+F15)-G15</f>
        <v/>
      </c>
      <c r="I15" s="6">
        <f>(B15-H15)/B15</f>
        <v/>
      </c>
      <c r="J15" s="6" t="inlineStr"/>
    </row>
    <row r="16">
      <c r="A16" s="6" t="n"/>
      <c r="B16" s="6" t="n"/>
      <c r="C16" s="6" t="n"/>
      <c r="D16" s="6" t="n"/>
      <c r="E16" s="6" t="n"/>
      <c r="F16" s="6" t="n"/>
      <c r="G16" s="6" t="n"/>
      <c r="H16" s="6">
        <f>B16-B16*(C16+D16+E16+F16)-G16</f>
        <v/>
      </c>
      <c r="I16" s="6">
        <f>(B16-H16)/B16</f>
        <v/>
      </c>
      <c r="J16" s="6" t="inlineStr"/>
    </row>
    <row r="18" ht="34" customHeight="1">
      <c r="A18" s="7" t="inlineStr">
        <is>
          <t>净值低不等于该关——要看是不是增量客源。判断方法：关闭或收紧该渠道后，总体入住率是否明显下降。没降说明那些客人本来会通过别的渠道来，该渠道只是在分流。</t>
        </is>
      </c>
    </row>
  </sheetData>
  <mergeCells count="3">
    <mergeCell ref="A1:J1"/>
    <mergeCell ref="A18:J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