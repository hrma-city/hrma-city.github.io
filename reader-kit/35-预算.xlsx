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4" customWidth="1" min="4" max="4"/>
    <col width="31" customWidth="1" min="5" max="5"/>
    <col width="13" customWidth="1" min="6" max="6"/>
    <col width="11" customWidth="1" min="7" max="7"/>
    <col width="14" customWidth="1" min="8" max="8"/>
    <col width="8" customWidth="1" min="9" max="9"/>
    <col width="8" customWidth="1" min="10" max="10"/>
    <col width="11" customWidth="1" min="11" max="11"/>
  </cols>
  <sheetData>
    <row r="1" ht="32" customHeight="1">
      <c r="A1" s="1" t="inlineStr">
        <is>
          <t>预算分解 + 量差价差归因表</t>
        </is>
      </c>
    </row>
    <row r="2" ht="30" customHeight="1">
      <c r="A2" s="2" t="inlineStr">
        <is>
          <t>预算不是预测，是'要达成它你得做什么'的清单。不要按天数平均摊，要用节假日、星期、事件修正后分解。</t>
        </is>
      </c>
    </row>
    <row r="4" ht="24" customHeight="1">
      <c r="A4" s="3" t="inlineStr">
        <is>
          <t>月份</t>
        </is>
      </c>
      <c r="B4" s="3" t="inlineStr">
        <is>
          <t>预算出租率</t>
        </is>
      </c>
      <c r="C4" s="3" t="inlineStr">
        <is>
          <t>预算均价</t>
        </is>
      </c>
      <c r="D4" s="3" t="inlineStr">
        <is>
          <t>预算 RevPAR</t>
        </is>
      </c>
      <c r="E4" s="3" t="inlineStr">
        <is>
          <t>修正因素（节假日/星期/事件）</t>
        </is>
      </c>
      <c r="F4" s="3" t="inlineStr">
        <is>
          <t>实际出租率</t>
        </is>
      </c>
      <c r="G4" s="3" t="inlineStr">
        <is>
          <t>实际均价</t>
        </is>
      </c>
      <c r="H4" s="3" t="inlineStr">
        <is>
          <t>实际 RevPAR</t>
        </is>
      </c>
      <c r="I4" s="3" t="inlineStr">
        <is>
          <t>量差</t>
        </is>
      </c>
      <c r="J4" s="3" t="inlineStr">
        <is>
          <t>价差</t>
        </is>
      </c>
      <c r="K4" s="3" t="inlineStr">
        <is>
          <t>合计差异</t>
        </is>
      </c>
    </row>
    <row r="5">
      <c r="A5" s="4" t="inlineStr">
        <is>
          <t>1月</t>
        </is>
      </c>
      <c r="B5" s="4" t="n">
        <v>0.7</v>
      </c>
      <c r="C5" s="4" t="n">
        <v>450</v>
      </c>
      <c r="D5" s="4">
        <f>B5*C5</f>
        <v/>
      </c>
      <c r="E5" s="4" t="inlineStr">
        <is>
          <t>春节在 1 月</t>
        </is>
      </c>
      <c r="F5" s="4" t="n">
        <v>0.75</v>
      </c>
      <c r="G5" s="4" t="n">
        <v>430</v>
      </c>
      <c r="H5" s="4">
        <f>F5*G5</f>
        <v/>
      </c>
      <c r="I5" s="4">
        <f>(F5-B5)*C5</f>
        <v/>
      </c>
      <c r="J5" s="4">
        <f>(G5-C5)*F5</f>
        <v/>
      </c>
      <c r="K5" s="4">
        <f>I5+J5</f>
        <v/>
      </c>
    </row>
    <row r="6">
      <c r="A6" s="4" t="inlineStr">
        <is>
          <t>2月</t>
        </is>
      </c>
      <c r="B6" s="4" t="n">
        <v>0.68</v>
      </c>
      <c r="C6" s="4" t="n">
        <v>440</v>
      </c>
      <c r="D6" s="4">
        <f>B6*C6</f>
        <v/>
      </c>
      <c r="E6" s="4" t="inlineStr">
        <is>
          <t>节后低谷</t>
        </is>
      </c>
      <c r="F6" s="4" t="n">
        <v>0.66</v>
      </c>
      <c r="G6" s="4" t="n">
        <v>445</v>
      </c>
      <c r="H6" s="4">
        <f>F6*G6</f>
        <v/>
      </c>
      <c r="I6" s="4">
        <f>(F6-B6)*C6</f>
        <v/>
      </c>
      <c r="J6" s="4">
        <f>(G6-C6)*F6</f>
        <v/>
      </c>
      <c r="K6" s="4">
        <f>I6+J6</f>
        <v/>
      </c>
    </row>
    <row r="7">
      <c r="A7" s="5" t="n"/>
      <c r="B7" s="5" t="n"/>
      <c r="C7" s="5" t="n"/>
      <c r="D7" s="5">
        <f>B7*C7</f>
        <v/>
      </c>
      <c r="E7" s="5" t="n"/>
      <c r="F7" s="5" t="n"/>
      <c r="G7" s="5" t="n"/>
      <c r="H7" s="5">
        <f>F7*G7</f>
        <v/>
      </c>
      <c r="I7" s="5">
        <f>(F7-B7)*C7</f>
        <v/>
      </c>
      <c r="J7" s="5">
        <f>(G7-C7)*F7</f>
        <v/>
      </c>
      <c r="K7" s="5">
        <f>I7+J7</f>
        <v/>
      </c>
    </row>
    <row r="8">
      <c r="A8" s="5" t="n"/>
      <c r="B8" s="5" t="n"/>
      <c r="C8" s="5" t="n"/>
      <c r="D8" s="5">
        <f>B8*C8</f>
        <v/>
      </c>
      <c r="E8" s="5" t="n"/>
      <c r="F8" s="5" t="n"/>
      <c r="G8" s="5" t="n"/>
      <c r="H8" s="5">
        <f>F8*G8</f>
        <v/>
      </c>
      <c r="I8" s="5">
        <f>(F8-B8)*C8</f>
        <v/>
      </c>
      <c r="J8" s="5">
        <f>(G8-C8)*F8</f>
        <v/>
      </c>
      <c r="K8" s="5">
        <f>I8+J8</f>
        <v/>
      </c>
    </row>
    <row r="9">
      <c r="A9" s="5" t="n"/>
      <c r="B9" s="5" t="n"/>
      <c r="C9" s="5" t="n"/>
      <c r="D9" s="5">
        <f>B9*C9</f>
        <v/>
      </c>
      <c r="E9" s="5" t="n"/>
      <c r="F9" s="5" t="n"/>
      <c r="G9" s="5" t="n"/>
      <c r="H9" s="5">
        <f>F9*G9</f>
        <v/>
      </c>
      <c r="I9" s="5">
        <f>(F9-B9)*C9</f>
        <v/>
      </c>
      <c r="J9" s="5">
        <f>(G9-C9)*F9</f>
        <v/>
      </c>
      <c r="K9" s="5">
        <f>I9+J9</f>
        <v/>
      </c>
    </row>
    <row r="10">
      <c r="A10" s="5" t="n"/>
      <c r="B10" s="5" t="n"/>
      <c r="C10" s="5" t="n"/>
      <c r="D10" s="5">
        <f>B10*C10</f>
        <v/>
      </c>
      <c r="E10" s="5" t="n"/>
      <c r="F10" s="5" t="n"/>
      <c r="G10" s="5" t="n"/>
      <c r="H10" s="5">
        <f>F10*G10</f>
        <v/>
      </c>
      <c r="I10" s="5">
        <f>(F10-B10)*C10</f>
        <v/>
      </c>
      <c r="J10" s="5">
        <f>(G10-C10)*F10</f>
        <v/>
      </c>
      <c r="K10" s="5">
        <f>I10+J10</f>
        <v/>
      </c>
    </row>
    <row r="11">
      <c r="A11" s="5" t="n"/>
      <c r="B11" s="5" t="n"/>
      <c r="C11" s="5" t="n"/>
      <c r="D11" s="5">
        <f>B11*C11</f>
        <v/>
      </c>
      <c r="E11" s="5" t="n"/>
      <c r="F11" s="5" t="n"/>
      <c r="G11" s="5" t="n"/>
      <c r="H11" s="5">
        <f>F11*G11</f>
        <v/>
      </c>
      <c r="I11" s="5">
        <f>(F11-B11)*C11</f>
        <v/>
      </c>
      <c r="J11" s="5">
        <f>(G11-C11)*F11</f>
        <v/>
      </c>
      <c r="K11" s="5">
        <f>I11+J11</f>
        <v/>
      </c>
    </row>
    <row r="12">
      <c r="A12" s="5" t="n"/>
      <c r="B12" s="5" t="n"/>
      <c r="C12" s="5" t="n"/>
      <c r="D12" s="5">
        <f>B12*C12</f>
        <v/>
      </c>
      <c r="E12" s="5" t="n"/>
      <c r="F12" s="5" t="n"/>
      <c r="G12" s="5" t="n"/>
      <c r="H12" s="5">
        <f>F12*G12</f>
        <v/>
      </c>
      <c r="I12" s="5">
        <f>(F12-B12)*C12</f>
        <v/>
      </c>
      <c r="J12" s="5">
        <f>(G12-C12)*F12</f>
        <v/>
      </c>
      <c r="K12" s="5">
        <f>I12+J12</f>
        <v/>
      </c>
    </row>
    <row r="13">
      <c r="A13" s="5" t="n"/>
      <c r="B13" s="5" t="n"/>
      <c r="C13" s="5" t="n"/>
      <c r="D13" s="5">
        <f>B13*C13</f>
        <v/>
      </c>
      <c r="E13" s="5" t="n"/>
      <c r="F13" s="5" t="n"/>
      <c r="G13" s="5" t="n"/>
      <c r="H13" s="5">
        <f>F13*G13</f>
        <v/>
      </c>
      <c r="I13" s="5">
        <f>(F13-B13)*C13</f>
        <v/>
      </c>
      <c r="J13" s="5">
        <f>(G13-C13)*F13</f>
        <v/>
      </c>
      <c r="K13" s="5">
        <f>I13+J13</f>
        <v/>
      </c>
    </row>
    <row r="14">
      <c r="A14" s="5" t="n"/>
      <c r="B14" s="5" t="n"/>
      <c r="C14" s="5" t="n"/>
      <c r="D14" s="5">
        <f>B14*C14</f>
        <v/>
      </c>
      <c r="E14" s="5" t="n"/>
      <c r="F14" s="5" t="n"/>
      <c r="G14" s="5" t="n"/>
      <c r="H14" s="5">
        <f>F14*G14</f>
        <v/>
      </c>
      <c r="I14" s="5">
        <f>(F14-B14)*C14</f>
        <v/>
      </c>
      <c r="J14" s="5">
        <f>(G14-C14)*F14</f>
        <v/>
      </c>
      <c r="K14" s="5">
        <f>I14+J14</f>
        <v/>
      </c>
    </row>
    <row r="15">
      <c r="A15" s="5" t="n"/>
      <c r="B15" s="5" t="n"/>
      <c r="C15" s="5" t="n"/>
      <c r="D15" s="5">
        <f>B15*C15</f>
        <v/>
      </c>
      <c r="E15" s="5" t="n"/>
      <c r="F15" s="5" t="n"/>
      <c r="G15" s="5" t="n"/>
      <c r="H15" s="5">
        <f>F15*G15</f>
        <v/>
      </c>
      <c r="I15" s="5">
        <f>(F15-B15)*C15</f>
        <v/>
      </c>
      <c r="J15" s="5">
        <f>(G15-C15)*F15</f>
        <v/>
      </c>
      <c r="K15" s="5">
        <f>I15+J15</f>
        <v/>
      </c>
    </row>
    <row r="16">
      <c r="A16" s="5" t="n"/>
      <c r="B16" s="5" t="n"/>
      <c r="C16" s="5" t="n"/>
      <c r="D16" s="5">
        <f>B16*C16</f>
        <v/>
      </c>
      <c r="E16" s="5" t="n"/>
      <c r="F16" s="5" t="n"/>
      <c r="G16" s="5" t="n"/>
      <c r="H16" s="5">
        <f>F16*G16</f>
        <v/>
      </c>
      <c r="I16" s="5">
        <f>(F16-B16)*C16</f>
        <v/>
      </c>
      <c r="J16" s="5">
        <f>(G16-C16)*F16</f>
        <v/>
      </c>
      <c r="K16" s="5">
        <f>I16+J16</f>
        <v/>
      </c>
    </row>
    <row r="18" ht="34" customHeight="1">
      <c r="A18" s="6" t="inlineStr">
        <is>
          <t>量差为主 → 在用价格换量，检查是否让利过多；价差为主且为正 → 溢价能力提升；量涨价跌但 RevPAR 只微增 → 典型的'用低价换量'，要警惕。预算每季度复检一次——不改的预算会逼出一堆破坏长期价格的动作。</t>
        </is>
      </c>
    </row>
  </sheetData>
  <mergeCells count="3">
    <mergeCell ref="A2:K2"/>
    <mergeCell ref="A1:K1"/>
    <mergeCell ref="A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2026-09-23T16:20:06Z</dcterms:created>
  <dcterms:modified xsi:type="dcterms:W3CDTF">2026-09-23T16:20:06Z</dcterms:modified>
</cp:coreProperties>
</file>