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2" customWidth="1" min="3" max="3"/>
    <col width="32" customWidth="1" min="4" max="4"/>
    <col width="11" customWidth="1" min="5" max="5"/>
    <col width="11" customWidth="1" min="6" max="6"/>
    <col width="15" customWidth="1" min="7" max="7"/>
    <col width="15" customWidth="1" min="8" max="8"/>
    <col width="11" customWidth="1" min="9" max="9"/>
  </cols>
  <sheetData>
    <row r="1" ht="32" customHeight="1">
      <c r="A1" s="1" t="inlineStr">
        <is>
          <t>涨价触发判断表（三信号 + 同步动作）</t>
        </is>
      </c>
    </row>
    <row r="2" ht="30" customHeight="1">
      <c r="A2" s="2" t="inlineStr">
        <is>
          <t>不要看出租率——它是结果指标。看三个前置信号，至少满足两个才动手，只满足一个通常是噪音。</t>
        </is>
      </c>
    </row>
    <row r="4" ht="24" customHeight="1">
      <c r="A4" s="3" t="inlineStr">
        <is>
          <t>日期</t>
        </is>
      </c>
      <c r="B4" s="3" t="inlineStr">
        <is>
          <t>信号1：Pickup 是否连续2–3天高于同期</t>
        </is>
      </c>
      <c r="C4" s="3" t="inlineStr">
        <is>
          <t>信号2：OTB 同期领先是否在扩大</t>
        </is>
      </c>
      <c r="D4" s="3" t="inlineStr">
        <is>
          <t>信号3：低价房型是否已售出过半</t>
        </is>
      </c>
      <c r="E4" s="3" t="inlineStr">
        <is>
          <t>满足几个</t>
        </is>
      </c>
      <c r="F4" s="3" t="inlineStr">
        <is>
          <t>是否动手</t>
        </is>
      </c>
      <c r="G4" s="3" t="inlineStr">
        <is>
          <t>同步：关房型</t>
        </is>
      </c>
      <c r="H4" s="3" t="inlineStr">
        <is>
          <t>同步：MinLOS</t>
        </is>
      </c>
      <c r="I4" s="3" t="inlineStr">
        <is>
          <t>涨幅上限</t>
        </is>
      </c>
    </row>
    <row r="5">
      <c r="A5" s="4" t="inlineStr">
        <is>
          <t>8月20日</t>
        </is>
      </c>
      <c r="B5" s="4" t="inlineStr">
        <is>
          <t>是</t>
        </is>
      </c>
      <c r="C5" s="4" t="inlineStr">
        <is>
          <t>是</t>
        </is>
      </c>
      <c r="D5" s="4" t="inlineStr">
        <is>
          <t>否</t>
        </is>
      </c>
      <c r="E5" s="4">
        <f>COUNTIF(B5:D5,"是")</f>
        <v/>
      </c>
      <c r="F5" s="4">
        <f>IF(E5&gt;=2,"动手","继续观察")</f>
        <v/>
      </c>
      <c r="G5" s="4" t="inlineStr">
        <is>
          <t>关最低1档</t>
        </is>
      </c>
      <c r="H5" s="4" t="inlineStr"/>
      <c r="I5" s="4" t="inlineStr">
        <is>
          <t>≤25%</t>
        </is>
      </c>
    </row>
    <row r="6">
      <c r="A6" s="4" t="inlineStr">
        <is>
          <t>8月21日</t>
        </is>
      </c>
      <c r="B6" s="4" t="inlineStr">
        <is>
          <t>否</t>
        </is>
      </c>
      <c r="C6" s="4" t="inlineStr">
        <is>
          <t>否</t>
        </is>
      </c>
      <c r="D6" s="4" t="inlineStr">
        <is>
          <t>否</t>
        </is>
      </c>
      <c r="E6" s="4">
        <f>COUNTIF(B6:D6,"是")</f>
        <v/>
      </c>
      <c r="F6" s="4">
        <f>IF(E6&gt;=2,"动手","继续观察")</f>
        <v/>
      </c>
      <c r="G6" s="4" t="inlineStr"/>
      <c r="H6" s="4" t="inlineStr"/>
      <c r="I6" s="4" t="inlineStr"/>
    </row>
    <row r="7">
      <c r="A7" s="5" t="n"/>
      <c r="B7" s="5" t="n"/>
      <c r="C7" s="5" t="n"/>
      <c r="D7" s="5" t="n"/>
      <c r="E7" s="5">
        <f>COUNTIF(B7:D7,"是")</f>
        <v/>
      </c>
      <c r="F7" s="5">
        <f>IF(E7&gt;=2,"动手","继续观察")</f>
        <v/>
      </c>
      <c r="G7" s="5" t="inlineStr"/>
      <c r="H7" s="5" t="inlineStr"/>
      <c r="I7" s="5" t="inlineStr"/>
    </row>
    <row r="8">
      <c r="A8" s="5" t="n"/>
      <c r="B8" s="5" t="n"/>
      <c r="C8" s="5" t="n"/>
      <c r="D8" s="5" t="n"/>
      <c r="E8" s="5">
        <f>COUNTIF(B8:D8,"是")</f>
        <v/>
      </c>
      <c r="F8" s="5">
        <f>IF(E8&gt;=2,"动手","继续观察")</f>
        <v/>
      </c>
      <c r="G8" s="5" t="inlineStr"/>
      <c r="H8" s="5" t="inlineStr"/>
      <c r="I8" s="5" t="inlineStr"/>
    </row>
    <row r="9">
      <c r="A9" s="5" t="n"/>
      <c r="B9" s="5" t="n"/>
      <c r="C9" s="5" t="n"/>
      <c r="D9" s="5" t="n"/>
      <c r="E9" s="5">
        <f>COUNTIF(B9:D9,"是")</f>
        <v/>
      </c>
      <c r="F9" s="5">
        <f>IF(E9&gt;=2,"动手","继续观察")</f>
        <v/>
      </c>
      <c r="G9" s="5" t="inlineStr"/>
      <c r="H9" s="5" t="inlineStr"/>
      <c r="I9" s="5" t="inlineStr"/>
    </row>
    <row r="10">
      <c r="A10" s="5" t="n"/>
      <c r="B10" s="5" t="n"/>
      <c r="C10" s="5" t="n"/>
      <c r="D10" s="5" t="n"/>
      <c r="E10" s="5">
        <f>COUNTIF(B10:D10,"是")</f>
        <v/>
      </c>
      <c r="F10" s="5">
        <f>IF(E10&gt;=2,"动手","继续观察")</f>
        <v/>
      </c>
      <c r="G10" s="5" t="inlineStr"/>
      <c r="H10" s="5" t="inlineStr"/>
      <c r="I10" s="5" t="inlineStr"/>
    </row>
    <row r="11">
      <c r="A11" s="5" t="n"/>
      <c r="B11" s="5" t="n"/>
      <c r="C11" s="5" t="n"/>
      <c r="D11" s="5" t="n"/>
      <c r="E11" s="5">
        <f>COUNTIF(B11:D11,"是")</f>
        <v/>
      </c>
      <c r="F11" s="5">
        <f>IF(E11&gt;=2,"动手","继续观察")</f>
        <v/>
      </c>
      <c r="G11" s="5" t="inlineStr"/>
      <c r="H11" s="5" t="inlineStr"/>
      <c r="I11" s="5" t="inlineStr"/>
    </row>
    <row r="12">
      <c r="A12" s="5" t="n"/>
      <c r="B12" s="5" t="n"/>
      <c r="C12" s="5" t="n"/>
      <c r="D12" s="5" t="n"/>
      <c r="E12" s="5">
        <f>COUNTIF(B12:D12,"是")</f>
        <v/>
      </c>
      <c r="F12" s="5">
        <f>IF(E12&gt;=2,"动手","继续观察")</f>
        <v/>
      </c>
      <c r="G12" s="5" t="inlineStr"/>
      <c r="H12" s="5" t="inlineStr"/>
      <c r="I12" s="5" t="inlineStr"/>
    </row>
    <row r="13">
      <c r="A13" s="5" t="n"/>
      <c r="B13" s="5" t="n"/>
      <c r="C13" s="5" t="n"/>
      <c r="D13" s="5" t="n"/>
      <c r="E13" s="5">
        <f>COUNTIF(B13:D13,"是")</f>
        <v/>
      </c>
      <c r="F13" s="5">
        <f>IF(E13&gt;=2,"动手","继续观察")</f>
        <v/>
      </c>
      <c r="G13" s="5" t="inlineStr"/>
      <c r="H13" s="5" t="inlineStr"/>
      <c r="I13" s="5" t="inlineStr"/>
    </row>
    <row r="14">
      <c r="A14" s="5" t="n"/>
      <c r="B14" s="5" t="n"/>
      <c r="C14" s="5" t="n"/>
      <c r="D14" s="5" t="n"/>
      <c r="E14" s="5">
        <f>COUNTIF(B14:D14,"是")</f>
        <v/>
      </c>
      <c r="F14" s="5">
        <f>IF(E14&gt;=2,"动手","继续观察")</f>
        <v/>
      </c>
      <c r="G14" s="5" t="inlineStr"/>
      <c r="H14" s="5" t="inlineStr"/>
      <c r="I14" s="5" t="inlineStr"/>
    </row>
    <row r="15">
      <c r="A15" s="5" t="n"/>
      <c r="B15" s="5" t="n"/>
      <c r="C15" s="5" t="n"/>
      <c r="D15" s="5" t="n"/>
      <c r="E15" s="5">
        <f>COUNTIF(B15:D15,"是")</f>
        <v/>
      </c>
      <c r="F15" s="5">
        <f>IF(E15&gt;=2,"动手","继续观察")</f>
        <v/>
      </c>
      <c r="G15" s="5" t="inlineStr"/>
      <c r="H15" s="5" t="inlineStr"/>
      <c r="I15" s="5" t="inlineStr"/>
    </row>
    <row r="16">
      <c r="A16" s="5" t="n"/>
      <c r="B16" s="5" t="n"/>
      <c r="C16" s="5" t="n"/>
      <c r="D16" s="5" t="n"/>
      <c r="E16" s="5">
        <f>COUNTIF(B16:D16,"是")</f>
        <v/>
      </c>
      <c r="F16" s="5">
        <f>IF(E16&gt;=2,"动手","继续观察")</f>
        <v/>
      </c>
      <c r="G16" s="5" t="inlineStr"/>
      <c r="H16" s="5" t="inlineStr"/>
      <c r="I16" s="5" t="inlineStr"/>
    </row>
    <row r="18" ht="34" customHeight="1">
      <c r="A18" s="6" t="inlineStr">
        <is>
          <t>提前量：在你判断客人开始大量预订之前 2–4 周完成布局。小幅多次优于一次大涨（每次 8%–10%，观察后再决定）。单日涨幅不超前档 25%，除非是明确事件日。</t>
        </is>
      </c>
    </row>
  </sheetData>
  <mergeCells count="3">
    <mergeCell ref="A1:I1"/>
    <mergeCell ref="A18:I18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2026-09-23T16:17:58Z</dcterms:created>
  <dcterms:modified xsi:type="dcterms:W3CDTF">2026-09-23T16:17:58Z</dcterms:modified>
</cp:coreProperties>
</file>