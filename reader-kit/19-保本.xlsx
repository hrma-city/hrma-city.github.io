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5"/>
    </font>
    <font>
      <color rgb="0044546A"/>
      <sz val="10"/>
    </font>
    <font>
      <b val="1"/>
      <color rgb="00FFFFFF"/>
      <sz val="10.5"/>
    </font>
    <font>
      <sz val="10"/>
    </font>
    <font>
      <color rgb="001D4F80"/>
      <sz val="10"/>
    </font>
  </fonts>
  <fills count="6">
    <fill>
      <patternFill/>
    </fill>
    <fill>
      <patternFill patternType="gray125"/>
    </fill>
    <fill>
      <patternFill patternType="solid">
        <fgColor rgb="000F2A4A"/>
      </patternFill>
    </fill>
    <fill>
      <patternFill patternType="solid">
        <fgColor rgb="00F4F8FC"/>
      </patternFill>
    </fill>
    <fill>
      <patternFill patternType="solid">
        <fgColor rgb="00FFF8E8"/>
      </patternFill>
    </fill>
    <fill>
      <patternFill patternType="solid">
        <fgColor rgb="00EAF2FA"/>
      </patternFill>
    </fill>
  </fills>
  <borders count="2">
    <border>
      <left/>
      <right/>
      <top/>
      <bottom/>
      <diagonal/>
    </border>
    <border>
      <left style="thin">
        <color rgb="00C9DCEE"/>
      </left>
      <right style="thin">
        <color rgb="00C9DCEE"/>
      </right>
      <top style="thin">
        <color rgb="00C9DCEE"/>
      </top>
      <bottom style="thin">
        <color rgb="00C9DCEE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2" fontId="4" fillId="4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5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9" customWidth="1" min="3" max="3"/>
    <col width="11" customWidth="1" min="4" max="4"/>
    <col width="13" customWidth="1" min="5" max="5"/>
    <col width="15" customWidth="1" min="6" max="6"/>
    <col width="17" customWidth="1" min="7" max="7"/>
    <col width="11" customWidth="1" min="8" max="8"/>
    <col width="11" customWidth="1" min="9" max="9"/>
  </cols>
  <sheetData>
    <row r="1" ht="32" customHeight="1">
      <c r="A1" s="1" t="inlineStr">
        <is>
          <t>保本房价与边际贡献测算表（分渠道）</t>
        </is>
      </c>
    </row>
    <row r="2" ht="30" customHeight="1">
      <c r="A2" s="2" t="inlineStr">
        <is>
          <t>保本点 = 边际成本 ÷ (1 − 渠道费率)。低于此价卖一间亏一间，不如不卖。但保本点是底线，不是售价。</t>
        </is>
      </c>
    </row>
    <row r="4" ht="24" customHeight="1">
      <c r="A4" s="3" t="inlineStr">
        <is>
          <t>渠道</t>
        </is>
      </c>
      <c r="B4" s="3" t="inlineStr">
        <is>
          <t>边际成本/间</t>
        </is>
      </c>
      <c r="C4" s="3" t="inlineStr">
        <is>
          <t>佣金率</t>
        </is>
      </c>
      <c r="D4" s="3" t="inlineStr">
        <is>
          <t>支付费率</t>
        </is>
      </c>
      <c r="E4" s="3" t="inlineStr">
        <is>
          <t>积分促销率</t>
        </is>
      </c>
      <c r="F4" s="3" t="inlineStr">
        <is>
          <t>渠道费率合计</t>
        </is>
      </c>
      <c r="G4" s="3" t="inlineStr">
        <is>
          <t>最低可接受房价</t>
        </is>
      </c>
      <c r="H4" s="3" t="inlineStr">
        <is>
          <t>当前售价</t>
        </is>
      </c>
      <c r="I4" s="3" t="inlineStr">
        <is>
          <t>是否安全</t>
        </is>
      </c>
    </row>
    <row r="5">
      <c r="A5" s="4" t="inlineStr">
        <is>
          <t>直销</t>
        </is>
      </c>
      <c r="B5" s="4" t="n">
        <v>80</v>
      </c>
      <c r="C5" s="4" t="n">
        <v>0</v>
      </c>
      <c r="D5" s="4" t="n">
        <v>0.006</v>
      </c>
      <c r="E5" s="4" t="n">
        <v>0.02</v>
      </c>
      <c r="F5" s="4">
        <f>C5+D5+E5</f>
        <v/>
      </c>
      <c r="G5" s="5">
        <f>B5/(1-F5)</f>
        <v/>
      </c>
      <c r="H5" s="4" t="n">
        <v>300</v>
      </c>
      <c r="I5" s="4">
        <f>IF(H5&gt;=G5,"安全","低于保本")</f>
        <v/>
      </c>
    </row>
    <row r="6">
      <c r="A6" s="4" t="inlineStr">
        <is>
          <t>OTA</t>
        </is>
      </c>
      <c r="B6" s="4" t="n">
        <v>80</v>
      </c>
      <c r="C6" s="4" t="n">
        <v>0.15</v>
      </c>
      <c r="D6" s="4" t="n">
        <v>0.006</v>
      </c>
      <c r="E6" s="4" t="n">
        <v>0.05</v>
      </c>
      <c r="F6" s="4">
        <f>C6+D6+E6</f>
        <v/>
      </c>
      <c r="G6" s="5">
        <f>B6/(1-F6)</f>
        <v/>
      </c>
      <c r="H6" s="4" t="n">
        <v>300</v>
      </c>
      <c r="I6" s="4">
        <f>IF(H6&gt;=G6,"安全","低于保本")</f>
        <v/>
      </c>
    </row>
    <row r="7">
      <c r="A7" s="4" t="inlineStr">
        <is>
          <t>批发商</t>
        </is>
      </c>
      <c r="B7" s="4" t="n">
        <v>80</v>
      </c>
      <c r="C7" s="4" t="n">
        <v>0.28</v>
      </c>
      <c r="D7" s="4" t="n">
        <v>0.006</v>
      </c>
      <c r="E7" s="4" t="n">
        <v>0</v>
      </c>
      <c r="F7" s="4">
        <f>C7+D7+E7</f>
        <v/>
      </c>
      <c r="G7" s="5">
        <f>B7/(1-F7)</f>
        <v/>
      </c>
      <c r="H7" s="4" t="n">
        <v>300</v>
      </c>
      <c r="I7" s="4">
        <f>IF(H7&gt;=G7,"安全","低于保本")</f>
        <v/>
      </c>
    </row>
    <row r="8">
      <c r="A8" s="6" t="n"/>
      <c r="B8" s="6" t="n">
        <v>80</v>
      </c>
      <c r="C8" s="6" t="n"/>
      <c r="D8" s="6" t="n"/>
      <c r="E8" s="6" t="n"/>
      <c r="F8" s="6">
        <f>C8+D8+E8</f>
        <v/>
      </c>
      <c r="G8" s="6">
        <f>B8/(1-F8)</f>
        <v/>
      </c>
      <c r="H8" s="6" t="n"/>
      <c r="I8" s="6">
        <f>IF(H8&gt;=G8,"安全","低于保本")</f>
        <v/>
      </c>
    </row>
    <row r="9">
      <c r="A9" s="6" t="n"/>
      <c r="B9" s="6" t="n">
        <v>80</v>
      </c>
      <c r="C9" s="6" t="n"/>
      <c r="D9" s="6" t="n"/>
      <c r="E9" s="6" t="n"/>
      <c r="F9" s="6">
        <f>C9+D9+E9</f>
        <v/>
      </c>
      <c r="G9" s="6">
        <f>B9/(1-F9)</f>
        <v/>
      </c>
      <c r="H9" s="6" t="n"/>
      <c r="I9" s="6">
        <f>IF(H9&gt;=G9,"安全","低于保本")</f>
        <v/>
      </c>
    </row>
    <row r="10">
      <c r="A10" s="6" t="n"/>
      <c r="B10" s="6" t="n">
        <v>80</v>
      </c>
      <c r="C10" s="6" t="n"/>
      <c r="D10" s="6" t="n"/>
      <c r="E10" s="6" t="n"/>
      <c r="F10" s="6">
        <f>C10+D10+E10</f>
        <v/>
      </c>
      <c r="G10" s="6">
        <f>B10/(1-F10)</f>
        <v/>
      </c>
      <c r="H10" s="6" t="n"/>
      <c r="I10" s="6">
        <f>IF(H10&gt;=G10,"安全","低于保本")</f>
        <v/>
      </c>
    </row>
    <row r="11">
      <c r="A11" s="6" t="n"/>
      <c r="B11" s="6" t="n">
        <v>80</v>
      </c>
      <c r="C11" s="6" t="n"/>
      <c r="D11" s="6" t="n"/>
      <c r="E11" s="6" t="n"/>
      <c r="F11" s="6">
        <f>C11+D11+E11</f>
        <v/>
      </c>
      <c r="G11" s="6">
        <f>B11/(1-F11)</f>
        <v/>
      </c>
      <c r="H11" s="6" t="n"/>
      <c r="I11" s="6">
        <f>IF(H11&gt;=G11,"安全","低于保本")</f>
        <v/>
      </c>
    </row>
    <row r="12">
      <c r="A12" s="6" t="n"/>
      <c r="B12" s="6" t="n">
        <v>80</v>
      </c>
      <c r="C12" s="6" t="n"/>
      <c r="D12" s="6" t="n"/>
      <c r="E12" s="6" t="n"/>
      <c r="F12" s="6">
        <f>C12+D12+E12</f>
        <v/>
      </c>
      <c r="G12" s="6">
        <f>B12/(1-F12)</f>
        <v/>
      </c>
      <c r="H12" s="6" t="n"/>
      <c r="I12" s="6">
        <f>IF(H12&gt;=G12,"安全","低于保本")</f>
        <v/>
      </c>
    </row>
    <row r="13">
      <c r="A13" s="6" t="n"/>
      <c r="B13" s="6" t="n">
        <v>80</v>
      </c>
      <c r="C13" s="6" t="n"/>
      <c r="D13" s="6" t="n"/>
      <c r="E13" s="6" t="n"/>
      <c r="F13" s="6">
        <f>C13+D13+E13</f>
        <v/>
      </c>
      <c r="G13" s="6">
        <f>B13/(1-F13)</f>
        <v/>
      </c>
      <c r="H13" s="6" t="n"/>
      <c r="I13" s="6">
        <f>IF(H13&gt;=G13,"安全","低于保本")</f>
        <v/>
      </c>
    </row>
    <row r="14">
      <c r="A14" s="6" t="n"/>
      <c r="B14" s="6" t="n">
        <v>80</v>
      </c>
      <c r="C14" s="6" t="n"/>
      <c r="D14" s="6" t="n"/>
      <c r="E14" s="6" t="n"/>
      <c r="F14" s="6">
        <f>C14+D14+E14</f>
        <v/>
      </c>
      <c r="G14" s="6">
        <f>B14/(1-F14)</f>
        <v/>
      </c>
      <c r="H14" s="6" t="n"/>
      <c r="I14" s="6">
        <f>IF(H14&gt;=G14,"安全","低于保本")</f>
        <v/>
      </c>
    </row>
    <row r="15">
      <c r="A15" s="6" t="n"/>
      <c r="B15" s="6" t="n">
        <v>80</v>
      </c>
      <c r="C15" s="6" t="n"/>
      <c r="D15" s="6" t="n"/>
      <c r="E15" s="6" t="n"/>
      <c r="F15" s="6">
        <f>C15+D15+E15</f>
        <v/>
      </c>
      <c r="G15" s="6">
        <f>B15/(1-F15)</f>
        <v/>
      </c>
      <c r="H15" s="6" t="n"/>
      <c r="I15" s="6">
        <f>IF(H15&gt;=G15,"安全","低于保本")</f>
        <v/>
      </c>
    </row>
    <row r="17" ht="34" customHeight="1">
      <c r="A17" s="7" t="inlineStr">
        <is>
          <t>同样低的价，直销渠道能做、OTA 不能做——这就是为什么渠道净值重要。三个破例：带来二次消费、填极低空档、战略性新客获取（第三种要算作市场费用，不能算进客房收益）。</t>
        </is>
      </c>
    </row>
  </sheetData>
  <mergeCells count="3">
    <mergeCell ref="A1:I1"/>
    <mergeCell ref="A17:I17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2026-09-23T16:17:58Z</dcterms:created>
  <dcterms:modified xsi:type="dcterms:W3CDTF">2026-09-23T16:17:58Z</dcterms:modified>
</cp:coreProperties>
</file>