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1" customWidth="1" min="4" max="4"/>
    <col width="14" customWidth="1" min="5" max="5"/>
    <col width="11" customWidth="1" min="6" max="6"/>
    <col width="11" customWidth="1" min="7" max="7"/>
    <col width="9" customWidth="1" min="8" max="8"/>
    <col width="11" customWidth="1" min="9" max="9"/>
  </cols>
  <sheetData>
    <row r="1" ht="32" customHeight="1">
      <c r="A1" s="1" t="inlineStr">
        <is>
          <t>渠道净值与边际成本测算表</t>
        </is>
      </c>
    </row>
    <row r="2" ht="30" customHeight="1">
      <c r="A2" s="2" t="inlineStr">
        <is>
          <t>黄底为示例。填入房价与各成本项，自动算到手净值与边际贡献。用于判断'这笔低价单该不该接'。</t>
        </is>
      </c>
    </row>
    <row r="4" ht="24" customHeight="1">
      <c r="A4" s="3" t="inlineStr">
        <is>
          <t>渠道</t>
        </is>
      </c>
      <c r="B4" s="3" t="inlineStr">
        <is>
          <t>房价</t>
        </is>
      </c>
      <c r="C4" s="3" t="inlineStr">
        <is>
          <t>佣金率</t>
        </is>
      </c>
      <c r="D4" s="3" t="inlineStr">
        <is>
          <t>支付费率</t>
        </is>
      </c>
      <c r="E4" s="3" t="inlineStr">
        <is>
          <t>积分/促销率</t>
        </is>
      </c>
      <c r="F4" s="3" t="inlineStr">
        <is>
          <t>边际成本</t>
        </is>
      </c>
      <c r="G4" s="3" t="inlineStr">
        <is>
          <t>到手净值</t>
        </is>
      </c>
      <c r="H4" s="3" t="inlineStr">
        <is>
          <t>净值率</t>
        </is>
      </c>
      <c r="I4" s="3" t="inlineStr">
        <is>
          <t>边际贡献</t>
        </is>
      </c>
    </row>
    <row r="5">
      <c r="A5" s="4" t="inlineStr">
        <is>
          <t>直销官网</t>
        </is>
      </c>
      <c r="B5" s="4" t="n">
        <v>500</v>
      </c>
      <c r="C5" s="4" t="n">
        <v>0</v>
      </c>
      <c r="D5" s="4" t="n">
        <v>0.006</v>
      </c>
      <c r="E5" s="4" t="n">
        <v>0.02</v>
      </c>
      <c r="F5" s="4" t="n">
        <v>80</v>
      </c>
      <c r="G5" s="4">
        <f>B5-B5*C5-B5*D5-B5*E5</f>
        <v/>
      </c>
      <c r="H5" s="5">
        <f>G5/B5</f>
        <v/>
      </c>
      <c r="I5" s="4">
        <f>G5-F5</f>
        <v/>
      </c>
    </row>
    <row r="6">
      <c r="A6" s="4" t="inlineStr">
        <is>
          <t>OTA</t>
        </is>
      </c>
      <c r="B6" s="4" t="n">
        <v>500</v>
      </c>
      <c r="C6" s="4" t="n">
        <v>0.15</v>
      </c>
      <c r="D6" s="4" t="n">
        <v>0.006</v>
      </c>
      <c r="E6" s="4" t="n">
        <v>0.05</v>
      </c>
      <c r="F6" s="4" t="n">
        <v>80</v>
      </c>
      <c r="G6" s="4">
        <f>B6-B6*C6-B6*D6-B6*E6</f>
        <v/>
      </c>
      <c r="H6" s="5">
        <f>G6/B6</f>
        <v/>
      </c>
      <c r="I6" s="4">
        <f>G6-F6</f>
        <v/>
      </c>
    </row>
    <row r="7">
      <c r="A7" s="4" t="inlineStr">
        <is>
          <t>团队/协议</t>
        </is>
      </c>
      <c r="B7" s="4" t="n">
        <v>500</v>
      </c>
      <c r="C7" s="4" t="n">
        <v>0.09</v>
      </c>
      <c r="D7" s="4" t="n">
        <v>0.006</v>
      </c>
      <c r="E7" s="4" t="n">
        <v>0.01</v>
      </c>
      <c r="F7" s="4" t="n">
        <v>80</v>
      </c>
      <c r="G7" s="4">
        <f>B7-B7*C7-B7*D7-B7*E7</f>
        <v/>
      </c>
      <c r="H7" s="5">
        <f>G7/B7</f>
        <v/>
      </c>
      <c r="I7" s="4">
        <f>G7-F6</f>
        <v/>
      </c>
    </row>
    <row r="8">
      <c r="A8" s="6" t="n"/>
      <c r="B8" s="6" t="n"/>
      <c r="C8" s="6" t="n"/>
      <c r="D8" s="6" t="n"/>
      <c r="E8" s="6" t="n"/>
      <c r="F8" s="6" t="n">
        <v>80</v>
      </c>
      <c r="G8" s="6">
        <f>B8-B8*C8-B8*D8-B8*E8</f>
        <v/>
      </c>
      <c r="H8" s="6">
        <f>G8/B8</f>
        <v/>
      </c>
      <c r="I8" s="6">
        <f>G8-F8</f>
        <v/>
      </c>
    </row>
    <row r="9">
      <c r="A9" s="6" t="n"/>
      <c r="B9" s="6" t="n"/>
      <c r="C9" s="6" t="n"/>
      <c r="D9" s="6" t="n"/>
      <c r="E9" s="6" t="n"/>
      <c r="F9" s="6" t="n">
        <v>80</v>
      </c>
      <c r="G9" s="6">
        <f>B9-B9*C9-B9*D9-B9*E9</f>
        <v/>
      </c>
      <c r="H9" s="6">
        <f>G9/B9</f>
        <v/>
      </c>
      <c r="I9" s="6">
        <f>G9-F9</f>
        <v/>
      </c>
    </row>
    <row r="10">
      <c r="A10" s="6" t="n"/>
      <c r="B10" s="6" t="n"/>
      <c r="C10" s="6" t="n"/>
      <c r="D10" s="6" t="n"/>
      <c r="E10" s="6" t="n"/>
      <c r="F10" s="6" t="n">
        <v>80</v>
      </c>
      <c r="G10" s="6">
        <f>B10-B10*C10-B10*D10-B10*E10</f>
        <v/>
      </c>
      <c r="H10" s="6">
        <f>G10/B10</f>
        <v/>
      </c>
      <c r="I10" s="6">
        <f>G10-F10</f>
        <v/>
      </c>
    </row>
    <row r="11">
      <c r="A11" s="6" t="n"/>
      <c r="B11" s="6" t="n"/>
      <c r="C11" s="6" t="n"/>
      <c r="D11" s="6" t="n"/>
      <c r="E11" s="6" t="n"/>
      <c r="F11" s="6" t="n">
        <v>80</v>
      </c>
      <c r="G11" s="6">
        <f>B11-B11*C11-B11*D11-B11*E11</f>
        <v/>
      </c>
      <c r="H11" s="6">
        <f>G11/B11</f>
        <v/>
      </c>
      <c r="I11" s="6">
        <f>G11-F11</f>
        <v/>
      </c>
    </row>
    <row r="12">
      <c r="A12" s="6" t="n"/>
      <c r="B12" s="6" t="n"/>
      <c r="C12" s="6" t="n"/>
      <c r="D12" s="6" t="n"/>
      <c r="E12" s="6" t="n"/>
      <c r="F12" s="6" t="n">
        <v>80</v>
      </c>
      <c r="G12" s="6">
        <f>B12-B12*C12-B12*D12-B12*E12</f>
        <v/>
      </c>
      <c r="H12" s="6">
        <f>G12/B12</f>
        <v/>
      </c>
      <c r="I12" s="6">
        <f>G12-F12</f>
        <v/>
      </c>
    </row>
    <row r="13">
      <c r="A13" s="6" t="n"/>
      <c r="B13" s="6" t="n"/>
      <c r="C13" s="6" t="n"/>
      <c r="D13" s="6" t="n"/>
      <c r="E13" s="6" t="n"/>
      <c r="F13" s="6" t="n">
        <v>80</v>
      </c>
      <c r="G13" s="6">
        <f>B13-B13*C13-B13*D13-B13*E13</f>
        <v/>
      </c>
      <c r="H13" s="6">
        <f>G13/B13</f>
        <v/>
      </c>
      <c r="I13" s="6">
        <f>G13-F13</f>
        <v/>
      </c>
    </row>
    <row r="14">
      <c r="A14" s="6" t="n"/>
      <c r="B14" s="6" t="n"/>
      <c r="C14" s="6" t="n"/>
      <c r="D14" s="6" t="n"/>
      <c r="E14" s="6" t="n"/>
      <c r="F14" s="6" t="n">
        <v>80</v>
      </c>
      <c r="G14" s="6">
        <f>B14-B14*C14-B14*D14-B14*E14</f>
        <v/>
      </c>
      <c r="H14" s="6">
        <f>G14/B14</f>
        <v/>
      </c>
      <c r="I14" s="6">
        <f>G14-F14</f>
        <v/>
      </c>
    </row>
    <row r="15">
      <c r="A15" s="6" t="n"/>
      <c r="B15" s="6" t="n"/>
      <c r="C15" s="6" t="n"/>
      <c r="D15" s="6" t="n"/>
      <c r="E15" s="6" t="n"/>
      <c r="F15" s="6" t="n">
        <v>80</v>
      </c>
      <c r="G15" s="6">
        <f>B15-B15*C15-B15*D15-B15*E15</f>
        <v/>
      </c>
      <c r="H15" s="6">
        <f>G15/B15</f>
        <v/>
      </c>
      <c r="I15" s="6">
        <f>G15-F15</f>
        <v/>
      </c>
    </row>
    <row r="17" ht="34" customHeight="1">
      <c r="A17" s="7" t="inlineStr">
        <is>
          <t>同样 RevPAR，渠道不同到手可差 15%–20%。判断低价单能否接，看'边际贡献'是否为正，而不是看房价高低。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2026-09-23T16:17:58Z</dcterms:created>
  <dcterms:modified xsi:type="dcterms:W3CDTF">2026-09-23T16:17:58Z</dcterms:modified>
</cp:coreProperties>
</file>