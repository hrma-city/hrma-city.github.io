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14" customWidth="1" min="7" max="7"/>
    <col width="14" customWidth="1" min="8" max="8"/>
    <col width="15" customWidth="1" min="9" max="9"/>
  </cols>
  <sheetData>
    <row r="1" ht="32" customHeight="1">
      <c r="A1" s="1" t="inlineStr">
        <is>
          <t>OCC / ADR / RevPAR 计算表（含边际成本与渠道）</t>
        </is>
      </c>
    </row>
    <row r="2" ht="30" customHeight="1">
      <c r="A2" s="2" t="inlineStr">
        <is>
          <t>黄底为示例。填写你自己的数据：OCC=已售/可售，ADR=收入/已售，RevPAR=收入/可售。注意两个分母不同。</t>
        </is>
      </c>
    </row>
    <row r="4" ht="24" customHeight="1">
      <c r="A4" s="3" t="inlineStr">
        <is>
          <t>日期</t>
        </is>
      </c>
      <c r="B4" s="3" t="inlineStr">
        <is>
          <t>可售房晚</t>
        </is>
      </c>
      <c r="C4" s="3" t="inlineStr">
        <is>
          <t>已售房晚</t>
        </is>
      </c>
      <c r="D4" s="3" t="inlineStr">
        <is>
          <t>客房收入</t>
        </is>
      </c>
      <c r="E4" s="3" t="inlineStr">
        <is>
          <t>OCC</t>
        </is>
      </c>
      <c r="F4" s="3" t="inlineStr">
        <is>
          <t>ADR</t>
        </is>
      </c>
      <c r="G4" s="3" t="inlineStr">
        <is>
          <t>当日 RevPAR</t>
        </is>
      </c>
      <c r="H4" s="3" t="inlineStr">
        <is>
          <t>边际成本/间</t>
        </is>
      </c>
      <c r="I4" s="3" t="inlineStr">
        <is>
          <t>当日边际贡献</t>
        </is>
      </c>
    </row>
    <row r="5">
      <c r="A5" s="4" t="inlineStr">
        <is>
          <t>7月1日</t>
        </is>
      </c>
      <c r="B5" s="4" t="n">
        <v>100</v>
      </c>
      <c r="C5" s="4" t="n">
        <v>85</v>
      </c>
      <c r="D5" s="4" t="n">
        <v>34000</v>
      </c>
      <c r="E5" s="5">
        <f>C5/B5</f>
        <v/>
      </c>
      <c r="F5" s="5">
        <f>D5/C5</f>
        <v/>
      </c>
      <c r="G5" s="5">
        <f>D5/B5</f>
        <v/>
      </c>
      <c r="H5" s="4" t="n">
        <v>80</v>
      </c>
      <c r="I5" s="4">
        <f>D5-B5*0-H5*C5</f>
        <v/>
      </c>
    </row>
    <row r="6">
      <c r="A6" s="4" t="inlineStr">
        <is>
          <t>7月2日</t>
        </is>
      </c>
      <c r="B6" s="4" t="n">
        <v>100</v>
      </c>
      <c r="C6" s="4" t="n">
        <v>42</v>
      </c>
      <c r="D6" s="4" t="n">
        <v>18900</v>
      </c>
      <c r="E6" s="5">
        <f>C6/B6</f>
        <v/>
      </c>
      <c r="F6" s="5">
        <f>D6/C6</f>
        <v/>
      </c>
      <c r="G6" s="5">
        <f>D6/B6</f>
        <v/>
      </c>
      <c r="H6" s="4" t="n">
        <v>80</v>
      </c>
      <c r="I6" s="4">
        <f>D6-C6*H6</f>
        <v/>
      </c>
    </row>
    <row r="7">
      <c r="A7" s="4" t="inlineStr">
        <is>
          <t>7月3日</t>
        </is>
      </c>
      <c r="B7" s="4" t="n">
        <v>20</v>
      </c>
      <c r="C7" s="4" t="n">
        <v>20</v>
      </c>
      <c r="D7" s="4" t="n">
        <v>10000</v>
      </c>
      <c r="E7" s="5">
        <f>C7/B7</f>
        <v/>
      </c>
      <c r="F7" s="5">
        <f>D7/C7</f>
        <v/>
      </c>
      <c r="G7" s="5">
        <f>D7/B7</f>
        <v/>
      </c>
      <c r="H7" s="4" t="n">
        <v>80</v>
      </c>
      <c r="I7" s="4">
        <f>D7-C7*H7</f>
        <v/>
      </c>
    </row>
    <row r="8">
      <c r="A8" s="6" t="n"/>
      <c r="B8" s="6" t="n"/>
      <c r="C8" s="6" t="n"/>
      <c r="D8" s="6" t="n"/>
      <c r="E8" s="6">
        <f>C8/B8</f>
        <v/>
      </c>
      <c r="F8" s="6">
        <f>D8/C8</f>
        <v/>
      </c>
      <c r="G8" s="6">
        <f>D8/B8</f>
        <v/>
      </c>
      <c r="H8" s="6" t="n">
        <v>80</v>
      </c>
      <c r="I8" s="6">
        <f>D8-C8*H8</f>
        <v/>
      </c>
    </row>
    <row r="9">
      <c r="A9" s="6" t="n"/>
      <c r="B9" s="6" t="n"/>
      <c r="C9" s="6" t="n"/>
      <c r="D9" s="6" t="n"/>
      <c r="E9" s="6">
        <f>C9/B9</f>
        <v/>
      </c>
      <c r="F9" s="6">
        <f>D9/C9</f>
        <v/>
      </c>
      <c r="G9" s="6">
        <f>D9/B9</f>
        <v/>
      </c>
      <c r="H9" s="6" t="n">
        <v>80</v>
      </c>
      <c r="I9" s="6">
        <f>D9-C9*H9</f>
        <v/>
      </c>
    </row>
    <row r="10">
      <c r="A10" s="6" t="n"/>
      <c r="B10" s="6" t="n"/>
      <c r="C10" s="6" t="n"/>
      <c r="D10" s="6" t="n"/>
      <c r="E10" s="6">
        <f>C10/B10</f>
        <v/>
      </c>
      <c r="F10" s="6">
        <f>D10/C10</f>
        <v/>
      </c>
      <c r="G10" s="6">
        <f>D10/B10</f>
        <v/>
      </c>
      <c r="H10" s="6" t="n">
        <v>80</v>
      </c>
      <c r="I10" s="6">
        <f>D10-C10*H10</f>
        <v/>
      </c>
    </row>
    <row r="11">
      <c r="A11" s="6" t="n"/>
      <c r="B11" s="6" t="n"/>
      <c r="C11" s="6" t="n"/>
      <c r="D11" s="6" t="n"/>
      <c r="E11" s="6">
        <f>C11/B11</f>
        <v/>
      </c>
      <c r="F11" s="6">
        <f>D11/C11</f>
        <v/>
      </c>
      <c r="G11" s="6">
        <f>D11/B11</f>
        <v/>
      </c>
      <c r="H11" s="6" t="n">
        <v>80</v>
      </c>
      <c r="I11" s="6">
        <f>D11-C11*H11</f>
        <v/>
      </c>
    </row>
    <row r="12">
      <c r="A12" s="6" t="n"/>
      <c r="B12" s="6" t="n"/>
      <c r="C12" s="6" t="n"/>
      <c r="D12" s="6" t="n"/>
      <c r="E12" s="6">
        <f>C12/B12</f>
        <v/>
      </c>
      <c r="F12" s="6">
        <f>D12/C12</f>
        <v/>
      </c>
      <c r="G12" s="6">
        <f>D12/B12</f>
        <v/>
      </c>
      <c r="H12" s="6" t="n">
        <v>80</v>
      </c>
      <c r="I12" s="6">
        <f>D12-C12*H12</f>
        <v/>
      </c>
    </row>
    <row r="13">
      <c r="A13" s="6" t="n"/>
      <c r="B13" s="6" t="n"/>
      <c r="C13" s="6" t="n"/>
      <c r="D13" s="6" t="n"/>
      <c r="E13" s="6">
        <f>C13/B13</f>
        <v/>
      </c>
      <c r="F13" s="6">
        <f>D13/C13</f>
        <v/>
      </c>
      <c r="G13" s="6">
        <f>D13/B13</f>
        <v/>
      </c>
      <c r="H13" s="6" t="n">
        <v>80</v>
      </c>
      <c r="I13" s="6">
        <f>D13-C13*H13</f>
        <v/>
      </c>
    </row>
    <row r="14">
      <c r="A14" s="6" t="n"/>
      <c r="B14" s="6" t="n"/>
      <c r="C14" s="6" t="n"/>
      <c r="D14" s="6" t="n"/>
      <c r="E14" s="6">
        <f>C14/B14</f>
        <v/>
      </c>
      <c r="F14" s="6">
        <f>D14/C14</f>
        <v/>
      </c>
      <c r="G14" s="6">
        <f>D14/B14</f>
        <v/>
      </c>
      <c r="H14" s="6" t="n">
        <v>80</v>
      </c>
      <c r="I14" s="6">
        <f>D14-C14*H14</f>
        <v/>
      </c>
    </row>
    <row r="15">
      <c r="A15" s="6" t="n"/>
      <c r="B15" s="6" t="n"/>
      <c r="C15" s="6" t="n"/>
      <c r="D15" s="6" t="n"/>
      <c r="E15" s="6">
        <f>C15/B15</f>
        <v/>
      </c>
      <c r="F15" s="6">
        <f>D15/C15</f>
        <v/>
      </c>
      <c r="G15" s="6">
        <f>D15/B15</f>
        <v/>
      </c>
      <c r="H15" s="6" t="n">
        <v>80</v>
      </c>
      <c r="I15" s="6">
        <f>D15-C15*H15</f>
        <v/>
      </c>
    </row>
    <row r="16">
      <c r="A16" s="6" t="n"/>
      <c r="B16" s="6" t="n"/>
      <c r="C16" s="6" t="n"/>
      <c r="D16" s="6" t="n"/>
      <c r="E16" s="6">
        <f>C16/B16</f>
        <v/>
      </c>
      <c r="F16" s="6">
        <f>D16/C16</f>
        <v/>
      </c>
      <c r="G16" s="6">
        <f>D16/B16</f>
        <v/>
      </c>
      <c r="H16" s="6" t="n">
        <v>80</v>
      </c>
      <c r="I16" s="6">
        <f>D16-C16*H16</f>
        <v/>
      </c>
    </row>
    <row r="17">
      <c r="A17" s="6" t="n"/>
      <c r="B17" s="6" t="n"/>
      <c r="C17" s="6" t="n"/>
      <c r="D17" s="6" t="n"/>
      <c r="E17" s="6">
        <f>C17/B17</f>
        <v/>
      </c>
      <c r="F17" s="6">
        <f>D17/C17</f>
        <v/>
      </c>
      <c r="G17" s="6">
        <f>D17/B17</f>
        <v/>
      </c>
      <c r="H17" s="6" t="n">
        <v>80</v>
      </c>
      <c r="I17" s="6">
        <f>D17-C17*H17</f>
        <v/>
      </c>
    </row>
    <row r="18">
      <c r="A18" s="6" t="n"/>
      <c r="B18" s="6" t="n"/>
      <c r="C18" s="6" t="n"/>
      <c r="D18" s="6" t="n"/>
      <c r="E18" s="6">
        <f>C18/B18</f>
        <v/>
      </c>
      <c r="F18" s="6">
        <f>D18/C18</f>
        <v/>
      </c>
      <c r="G18" s="6">
        <f>D18/B18</f>
        <v/>
      </c>
      <c r="H18" s="6" t="n">
        <v>80</v>
      </c>
      <c r="I18" s="6">
        <f>D18-C18*H18</f>
        <v/>
      </c>
    </row>
    <row r="19">
      <c r="A19" s="6" t="n"/>
      <c r="B19" s="6" t="n"/>
      <c r="C19" s="6" t="n"/>
      <c r="D19" s="6" t="n"/>
      <c r="E19" s="6">
        <f>C19/B19</f>
        <v/>
      </c>
      <c r="F19" s="6">
        <f>D19/C19</f>
        <v/>
      </c>
      <c r="G19" s="6">
        <f>D19/B19</f>
        <v/>
      </c>
      <c r="H19" s="6" t="n">
        <v>80</v>
      </c>
      <c r="I19" s="6">
        <f>D19-C19*H19</f>
        <v/>
      </c>
    </row>
    <row r="21" ht="34" customHeight="1">
      <c r="A21" s="7" t="inlineStr">
        <is>
          <t>月度汇总：月 RevPAR = SUM(收入) ÷ SUM(可售房晚)；月 ADR = SUM(收入) ÷ SUM(已售房晚)。切勿对'当日 RevPAR'列取 AVERAGE。</t>
        </is>
      </c>
    </row>
  </sheetData>
  <mergeCells count="3">
    <mergeCell ref="A1:I1"/>
    <mergeCell ref="A21:I2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2026-09-23T16:17:58Z</dcterms:created>
  <dcterms:modified xsi:type="dcterms:W3CDTF">2026-09-23T16:17:58Z</dcterms:modified>
</cp:coreProperties>
</file>